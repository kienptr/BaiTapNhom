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<sst xmlns="http://schemas.openxmlformats.org/spreadsheetml/2006/main" count="72" uniqueCount="59">
  <si>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DANH SÁCH THƯỞNG THÁNG 03</t>
  </si>
  <si>
    <t>STT</t>
  </si>
  <si>
    <t>HỌ</t>
  </si>
  <si>
    <t>TÊN</t>
  </si>
  <si>
    <t>PHÁI</t>
  </si>
  <si>
    <t>NGÀY CÔNG</t>
  </si>
  <si>
    <t>THƯỞNG 8/3</t>
  </si>
  <si>
    <t>THƯỞNG A</t>
  </si>
  <si>
    <t>THƯỞNG B</t>
  </si>
  <si>
    <t>Trần Thanh</t>
  </si>
  <si>
    <t>Tuấn</t>
  </si>
  <si>
    <t>NAM</t>
  </si>
  <si>
    <t>Phạm Hùng</t>
  </si>
  <si>
    <t>Cường</t>
  </si>
  <si>
    <t>Lê Ngọc</t>
  </si>
  <si>
    <t>Xuân</t>
  </si>
  <si>
    <t>NỮ</t>
  </si>
  <si>
    <t>Phạm Thanh</t>
  </si>
  <si>
    <t>Long</t>
  </si>
  <si>
    <t>Phạm Hoài</t>
  </si>
  <si>
    <t xml:space="preserve">Nam </t>
  </si>
  <si>
    <t>Lê Thanh</t>
  </si>
  <si>
    <t>Lan</t>
  </si>
  <si>
    <t>HỌ VÀ TÊN</t>
  </si>
  <si>
    <t>CHỨC VỤ</t>
  </si>
  <si>
    <t>NĂM SINH</t>
  </si>
  <si>
    <t>LCB</t>
  </si>
  <si>
    <t>NGÀY</t>
  </si>
  <si>
    <t>TUỔI</t>
  </si>
  <si>
    <t>LƯƠNG</t>
  </si>
  <si>
    <t>THƯỞNG</t>
  </si>
  <si>
    <t>TẠM ỨNG</t>
  </si>
  <si>
    <t>CÒN LẠI</t>
  </si>
  <si>
    <t>Nguyễn Văn Tâm</t>
  </si>
  <si>
    <t>TP</t>
  </si>
  <si>
    <t>Nguyễn Thị Hằng</t>
  </si>
  <si>
    <t>NV</t>
  </si>
  <si>
    <t>Ngô Thi Nga</t>
  </si>
  <si>
    <t>PP</t>
  </si>
  <si>
    <t>Trần Thiên Thu</t>
  </si>
  <si>
    <t>Lâm Hoàng Cát</t>
  </si>
  <si>
    <t>KT</t>
  </si>
  <si>
    <t>Lê Hoải Sơn</t>
  </si>
  <si>
    <t>BV</t>
  </si>
  <si>
    <t>Lý Lâm</t>
  </si>
  <si>
    <t>Trần Văn Trung</t>
  </si>
  <si>
    <t>GĐ</t>
  </si>
  <si>
    <t>Nguyễn Văn Trang</t>
  </si>
  <si>
    <t>Lý Thu Nga</t>
  </si>
  <si>
    <t>Nguyễn Văn Hùng</t>
  </si>
  <si>
    <t>Trần Thị Phượng</t>
  </si>
  <si>
    <t>Võ Tấn Thành</t>
  </si>
  <si>
    <t>PGĐ</t>
  </si>
  <si>
    <t>Lê Văn Minh</t>
  </si>
  <si>
    <t>Doãn Hoà</t>
  </si>
  <si>
    <t>TỔNG CỘNG</t>
  </si>
  <si>
    <t>BÌNH QUÂN</t>
  </si>
  <si>
    <t>CAO NHẤT</t>
  </si>
  <si>
    <t>THẤP NHẤT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</si>
</sst>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2"/>
      <color theme="1"/>
      <name val="Times New Roman"/>
      <charset val="134"/>
    </font>
    <font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81B3A"/>
      <name val="Segoe UI"/>
      <charset val="134"/>
    </font>
    <font>
      <sz val="2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/>
    <xf numFmtId="0" fontId="1" fillId="2" borderId="1" xfId="27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58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27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27" applyFont="1" applyBorder="1" applyAlignment="1">
      <alignment horizontal="center"/>
    </xf>
    <xf numFmtId="0" fontId="4" fillId="2" borderId="1" xfId="27" applyFont="1" applyBorder="1" applyAlignment="1">
      <alignment horizontal="center"/>
    </xf>
    <xf numFmtId="0" fontId="4" fillId="2" borderId="1" xfId="27" applyFont="1" applyBorder="1"/>
    <xf numFmtId="0" fontId="0" fillId="2" borderId="1" xfId="27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3" sqref="H3:H8"/>
    </sheetView>
  </sheetViews>
  <sheetFormatPr defaultColWidth="9" defaultRowHeight="15.5" outlineLevelRow="7" outlineLevelCol="7"/>
  <cols>
    <col min="2" max="2" width="11.5" customWidth="1"/>
    <col min="5" max="5" width="18.125" customWidth="1"/>
    <col min="6" max="6" width="17.875" customWidth="1"/>
    <col min="7" max="7" width="12.25" customWidth="1"/>
    <col min="8" max="8" width="14.125" customWidth="1"/>
  </cols>
  <sheetData>
    <row r="1" ht="28" spans="1:8">
      <c r="A1" s="9" t="s">
        <v>0</v>
      </c>
      <c r="B1" s="9"/>
      <c r="C1" s="9"/>
      <c r="D1" s="9"/>
      <c r="E1" s="9"/>
      <c r="F1" s="9"/>
      <c r="G1" s="9"/>
      <c r="H1" s="10"/>
    </row>
    <row r="2" spans="1: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</row>
    <row r="3" spans="1:8">
      <c r="A3" s="12">
        <v>1</v>
      </c>
      <c r="B3" s="12" t="s">
        <v>9</v>
      </c>
      <c r="C3" s="12" t="s">
        <v>10</v>
      </c>
      <c r="D3" s="12" t="s">
        <v>11</v>
      </c>
      <c r="E3" s="12">
        <v>25</v>
      </c>
      <c r="F3" s="1">
        <f>IF(D3="Nữ",2000000,IF(D3="Nam",0))</f>
        <v>0</v>
      </c>
      <c r="G3" s="1">
        <f>IF(E5&gt;=24,300000,0)</f>
        <v>300000</v>
      </c>
      <c r="H3" s="1">
        <f>IF(OR(AND(D5="NAM",E5&gt;=26),AND(D5="NỮ",E5&gt;=25)),100000,0)</f>
        <v>100000</v>
      </c>
    </row>
    <row r="4" spans="1:8">
      <c r="A4" s="12">
        <v>2</v>
      </c>
      <c r="B4" s="12" t="s">
        <v>12</v>
      </c>
      <c r="C4" s="12" t="s">
        <v>13</v>
      </c>
      <c r="D4" s="12" t="s">
        <v>11</v>
      </c>
      <c r="E4" s="12">
        <v>24</v>
      </c>
      <c r="F4" s="1">
        <f t="shared" ref="F4:F8" si="0">IF(D4="Nữ",2000000,IF(D4="Nam",0))</f>
        <v>0</v>
      </c>
      <c r="G4" s="1">
        <f t="shared" ref="G4:G8" si="1">IF(E6&gt;=24,300000,0)</f>
        <v>0</v>
      </c>
      <c r="H4" s="1">
        <f t="shared" ref="H4:H8" si="2">IF(OR(AND(D6="NAM",E6&gt;=26),AND(D6="NỮ",E6&gt;=25)),100000,0)</f>
        <v>0</v>
      </c>
    </row>
    <row r="5" spans="1:8">
      <c r="A5" s="12">
        <v>3</v>
      </c>
      <c r="B5" s="12" t="s">
        <v>14</v>
      </c>
      <c r="C5" s="12" t="s">
        <v>15</v>
      </c>
      <c r="D5" s="12" t="s">
        <v>16</v>
      </c>
      <c r="E5" s="12">
        <v>26</v>
      </c>
      <c r="F5" s="1">
        <f t="shared" si="0"/>
        <v>2000000</v>
      </c>
      <c r="G5" s="1">
        <f t="shared" si="1"/>
        <v>300000</v>
      </c>
      <c r="H5" s="1">
        <f t="shared" si="2"/>
        <v>100000</v>
      </c>
    </row>
    <row r="6" spans="1:8">
      <c r="A6" s="12">
        <v>4</v>
      </c>
      <c r="B6" s="12" t="s">
        <v>17</v>
      </c>
      <c r="C6" s="12" t="s">
        <v>18</v>
      </c>
      <c r="D6" s="12" t="s">
        <v>16</v>
      </c>
      <c r="E6" s="12">
        <v>22</v>
      </c>
      <c r="F6" s="1">
        <f t="shared" si="0"/>
        <v>2000000</v>
      </c>
      <c r="G6" s="1">
        <f t="shared" si="1"/>
        <v>300000</v>
      </c>
      <c r="H6" s="1">
        <f t="shared" si="2"/>
        <v>100000</v>
      </c>
    </row>
    <row r="7" spans="1:8">
      <c r="A7" s="12">
        <v>5</v>
      </c>
      <c r="B7" s="12" t="s">
        <v>19</v>
      </c>
      <c r="C7" s="12" t="s">
        <v>20</v>
      </c>
      <c r="D7" s="12" t="s">
        <v>11</v>
      </c>
      <c r="E7" s="12">
        <v>27</v>
      </c>
      <c r="F7" s="1">
        <f t="shared" si="0"/>
        <v>0</v>
      </c>
      <c r="G7" s="1">
        <f t="shared" si="1"/>
        <v>0</v>
      </c>
      <c r="H7" s="1">
        <f t="shared" si="2"/>
        <v>0</v>
      </c>
    </row>
    <row r="8" spans="1:8">
      <c r="A8" s="12">
        <v>6</v>
      </c>
      <c r="B8" s="12" t="s">
        <v>21</v>
      </c>
      <c r="C8" s="12" t="s">
        <v>22</v>
      </c>
      <c r="D8" s="12" t="s">
        <v>16</v>
      </c>
      <c r="E8" s="12">
        <v>25</v>
      </c>
      <c r="F8" s="1">
        <f t="shared" si="0"/>
        <v>2000000</v>
      </c>
      <c r="G8" s="1">
        <f t="shared" si="1"/>
        <v>0</v>
      </c>
      <c r="H8" s="1">
        <f t="shared" si="2"/>
        <v>0</v>
      </c>
    </row>
  </sheetData>
  <mergeCells count="1">
    <mergeCell ref="A1:G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G2" sqref="G2"/>
    </sheetView>
  </sheetViews>
  <sheetFormatPr defaultColWidth="9" defaultRowHeight="15.5"/>
  <cols>
    <col min="2" max="2" width="18.875" customWidth="1"/>
    <col min="3" max="3" width="17.875" customWidth="1"/>
    <col min="4" max="4" width="17.625" customWidth="1"/>
    <col min="6" max="6" width="11.875" customWidth="1"/>
    <col min="7" max="7" width="13.625" customWidth="1"/>
    <col min="8" max="8" width="17.5" customWidth="1"/>
    <col min="9" max="9" width="14.75" customWidth="1"/>
    <col min="10" max="10" width="18.125" customWidth="1"/>
    <col min="11" max="11" width="11" customWidth="1"/>
  </cols>
  <sheetData>
    <row r="1" ht="20.5" spans="1:11">
      <c r="A1" s="2" t="s">
        <v>1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8" t="s">
        <v>32</v>
      </c>
    </row>
    <row r="2" spans="1:11">
      <c r="A2" s="3">
        <v>1</v>
      </c>
      <c r="B2" s="3" t="s">
        <v>33</v>
      </c>
      <c r="C2" s="3" t="s">
        <v>34</v>
      </c>
      <c r="D2" s="4">
        <v>24524</v>
      </c>
      <c r="E2" s="3">
        <v>120000</v>
      </c>
      <c r="F2" s="3">
        <v>25</v>
      </c>
      <c r="G2" s="3">
        <v>58</v>
      </c>
      <c r="H2" s="3">
        <f>E2*F2</f>
        <v>3000000</v>
      </c>
      <c r="I2" s="1">
        <f>IF(C2="PT",500000,IF(C2="PGĐ",400000,IF(C2="TP",300000,IF(C2="PP",200000,))))</f>
        <v>300000</v>
      </c>
      <c r="J2" s="1">
        <f>0.8*H2</f>
        <v>2400000</v>
      </c>
      <c r="K2" s="1">
        <f>H2+I2-J2</f>
        <v>900000</v>
      </c>
    </row>
    <row r="3" ht="17.5" spans="1:11">
      <c r="A3" s="3">
        <v>2</v>
      </c>
      <c r="B3" s="5" t="s">
        <v>35</v>
      </c>
      <c r="C3" s="3" t="s">
        <v>36</v>
      </c>
      <c r="D3" s="4">
        <v>27659</v>
      </c>
      <c r="E3" s="3">
        <v>160000</v>
      </c>
      <c r="F3" s="3">
        <v>24</v>
      </c>
      <c r="G3" s="3">
        <v>54</v>
      </c>
      <c r="H3" s="3">
        <f t="shared" ref="H3:H16" si="0">E3*F3</f>
        <v>3840000</v>
      </c>
      <c r="I3" s="1">
        <f t="shared" ref="I3:I16" si="1">IF(C3="PT",500000,IF(C3="PGĐ",400000,IF(C3="TP",300000,IF(C3="PP",200000,))))</f>
        <v>0</v>
      </c>
      <c r="J3" s="1">
        <f t="shared" ref="J3:J16" si="2">0.8*H3</f>
        <v>3072000</v>
      </c>
      <c r="K3" s="1">
        <f t="shared" ref="K3:K16" si="3">H3+I3-J3</f>
        <v>768000</v>
      </c>
    </row>
    <row r="4" ht="17.5" spans="1:11">
      <c r="A4" s="3">
        <v>3</v>
      </c>
      <c r="B4" s="5" t="s">
        <v>37</v>
      </c>
      <c r="C4" s="3" t="s">
        <v>38</v>
      </c>
      <c r="D4" s="4">
        <v>24972</v>
      </c>
      <c r="E4" s="3">
        <v>150000</v>
      </c>
      <c r="F4" s="3">
        <v>26</v>
      </c>
      <c r="G4" s="3">
        <v>57</v>
      </c>
      <c r="H4" s="3">
        <f t="shared" si="0"/>
        <v>3900000</v>
      </c>
      <c r="I4" s="1">
        <f t="shared" si="1"/>
        <v>200000</v>
      </c>
      <c r="J4" s="1">
        <f t="shared" si="2"/>
        <v>3120000</v>
      </c>
      <c r="K4" s="1">
        <f t="shared" si="3"/>
        <v>980000</v>
      </c>
    </row>
    <row r="5" ht="17.5" spans="1:11">
      <c r="A5" s="3">
        <v>4</v>
      </c>
      <c r="B5" s="5" t="s">
        <v>39</v>
      </c>
      <c r="C5" s="3" t="s">
        <v>36</v>
      </c>
      <c r="D5" s="4">
        <v>21231</v>
      </c>
      <c r="E5" s="3">
        <v>130000</v>
      </c>
      <c r="F5" s="3">
        <v>20</v>
      </c>
      <c r="G5" s="3">
        <v>67</v>
      </c>
      <c r="H5" s="3">
        <f t="shared" si="0"/>
        <v>2600000</v>
      </c>
      <c r="I5" s="1">
        <f t="shared" si="1"/>
        <v>0</v>
      </c>
      <c r="J5" s="1">
        <f t="shared" si="2"/>
        <v>2080000</v>
      </c>
      <c r="K5" s="1">
        <f t="shared" si="3"/>
        <v>520000</v>
      </c>
    </row>
    <row r="6" ht="17.5" spans="1:11">
      <c r="A6" s="3">
        <v>5</v>
      </c>
      <c r="B6" s="5" t="s">
        <v>40</v>
      </c>
      <c r="C6" s="3" t="s">
        <v>41</v>
      </c>
      <c r="D6" s="4">
        <v>28728</v>
      </c>
      <c r="E6" s="3">
        <v>180000</v>
      </c>
      <c r="F6" s="3">
        <v>23</v>
      </c>
      <c r="G6" s="3">
        <v>47</v>
      </c>
      <c r="H6" s="3">
        <f t="shared" si="0"/>
        <v>4140000</v>
      </c>
      <c r="I6" s="1">
        <f t="shared" si="1"/>
        <v>0</v>
      </c>
      <c r="J6" s="1">
        <f t="shared" si="2"/>
        <v>3312000</v>
      </c>
      <c r="K6" s="1">
        <f t="shared" si="3"/>
        <v>828000</v>
      </c>
    </row>
    <row r="7" ht="17.5" spans="1:11">
      <c r="A7" s="3">
        <v>6</v>
      </c>
      <c r="B7" s="5" t="s">
        <v>42</v>
      </c>
      <c r="C7" s="3" t="s">
        <v>43</v>
      </c>
      <c r="D7" s="4">
        <v>25432</v>
      </c>
      <c r="E7" s="3">
        <v>150000</v>
      </c>
      <c r="F7" s="3">
        <v>24</v>
      </c>
      <c r="G7" s="3">
        <v>56</v>
      </c>
      <c r="H7" s="3">
        <f t="shared" si="0"/>
        <v>3600000</v>
      </c>
      <c r="I7" s="1">
        <f t="shared" si="1"/>
        <v>0</v>
      </c>
      <c r="J7" s="1">
        <f t="shared" si="2"/>
        <v>2880000</v>
      </c>
      <c r="K7" s="1">
        <f t="shared" si="3"/>
        <v>720000</v>
      </c>
    </row>
    <row r="8" ht="17.5" spans="1:11">
      <c r="A8" s="3">
        <v>7</v>
      </c>
      <c r="B8" s="5" t="s">
        <v>44</v>
      </c>
      <c r="C8" s="3" t="s">
        <v>38</v>
      </c>
      <c r="D8" s="4">
        <v>25430</v>
      </c>
      <c r="E8" s="3">
        <v>140000</v>
      </c>
      <c r="F8" s="3">
        <v>27</v>
      </c>
      <c r="G8" s="3">
        <v>44</v>
      </c>
      <c r="H8" s="3">
        <f t="shared" si="0"/>
        <v>3780000</v>
      </c>
      <c r="I8" s="1">
        <f t="shared" si="1"/>
        <v>200000</v>
      </c>
      <c r="J8" s="1">
        <f t="shared" si="2"/>
        <v>3024000</v>
      </c>
      <c r="K8" s="1">
        <f t="shared" si="3"/>
        <v>956000</v>
      </c>
    </row>
    <row r="9" ht="17.5" spans="1:11">
      <c r="A9" s="3">
        <v>8</v>
      </c>
      <c r="B9" s="5" t="s">
        <v>45</v>
      </c>
      <c r="C9" s="3" t="s">
        <v>46</v>
      </c>
      <c r="D9" s="4">
        <v>20796</v>
      </c>
      <c r="E9" s="3">
        <v>160000</v>
      </c>
      <c r="F9" s="3">
        <v>14</v>
      </c>
      <c r="G9" s="3">
        <v>69</v>
      </c>
      <c r="H9" s="3">
        <f t="shared" si="0"/>
        <v>2240000</v>
      </c>
      <c r="I9" s="1">
        <f t="shared" si="1"/>
        <v>0</v>
      </c>
      <c r="J9" s="1">
        <f t="shared" si="2"/>
        <v>1792000</v>
      </c>
      <c r="K9" s="1">
        <f t="shared" si="3"/>
        <v>448000</v>
      </c>
    </row>
    <row r="10" ht="17.5" spans="1:11">
      <c r="A10" s="3">
        <v>9</v>
      </c>
      <c r="B10" s="5" t="s">
        <v>47</v>
      </c>
      <c r="C10" s="3" t="s">
        <v>43</v>
      </c>
      <c r="D10" s="4">
        <v>22194</v>
      </c>
      <c r="E10" s="3">
        <v>150000</v>
      </c>
      <c r="F10" s="3">
        <v>17</v>
      </c>
      <c r="G10" s="3">
        <v>58</v>
      </c>
      <c r="H10" s="3">
        <f t="shared" si="0"/>
        <v>2550000</v>
      </c>
      <c r="I10" s="1">
        <f t="shared" si="1"/>
        <v>0</v>
      </c>
      <c r="J10" s="1">
        <f t="shared" si="2"/>
        <v>2040000</v>
      </c>
      <c r="K10" s="1">
        <f t="shared" si="3"/>
        <v>510000</v>
      </c>
    </row>
    <row r="11" ht="17.5" spans="1:11">
      <c r="A11" s="3">
        <v>10</v>
      </c>
      <c r="B11" s="5" t="s">
        <v>48</v>
      </c>
      <c r="C11" s="3" t="s">
        <v>36</v>
      </c>
      <c r="D11" s="4">
        <v>19859</v>
      </c>
      <c r="E11" s="3">
        <v>130000</v>
      </c>
      <c r="F11" s="3">
        <v>23</v>
      </c>
      <c r="G11" s="3">
        <v>71</v>
      </c>
      <c r="H11" s="3">
        <f t="shared" si="0"/>
        <v>2990000</v>
      </c>
      <c r="I11" s="1">
        <f t="shared" si="1"/>
        <v>0</v>
      </c>
      <c r="J11" s="1">
        <f t="shared" si="2"/>
        <v>2392000</v>
      </c>
      <c r="K11" s="1">
        <f t="shared" si="3"/>
        <v>598000</v>
      </c>
    </row>
    <row r="12" ht="17.5" spans="1:11">
      <c r="A12" s="3">
        <v>11</v>
      </c>
      <c r="B12" s="5" t="s">
        <v>49</v>
      </c>
      <c r="C12" s="3" t="s">
        <v>34</v>
      </c>
      <c r="D12" s="4">
        <v>24731</v>
      </c>
      <c r="E12" s="3">
        <v>180000</v>
      </c>
      <c r="F12" s="3">
        <v>22</v>
      </c>
      <c r="G12" s="3">
        <v>71</v>
      </c>
      <c r="H12" s="3">
        <f t="shared" si="0"/>
        <v>3960000</v>
      </c>
      <c r="I12" s="1">
        <f t="shared" si="1"/>
        <v>300000</v>
      </c>
      <c r="J12" s="1">
        <f t="shared" si="2"/>
        <v>3168000</v>
      </c>
      <c r="K12" s="1">
        <f t="shared" si="3"/>
        <v>1092000</v>
      </c>
    </row>
    <row r="13" ht="17.5" spans="1:11">
      <c r="A13" s="3">
        <v>12</v>
      </c>
      <c r="B13" s="5" t="s">
        <v>50</v>
      </c>
      <c r="C13" s="3" t="s">
        <v>36</v>
      </c>
      <c r="D13" s="4">
        <v>25465</v>
      </c>
      <c r="E13" s="3">
        <v>150000</v>
      </c>
      <c r="F13" s="3">
        <v>14</v>
      </c>
      <c r="G13" s="3">
        <v>61</v>
      </c>
      <c r="H13" s="3">
        <f t="shared" si="0"/>
        <v>2100000</v>
      </c>
      <c r="I13" s="1">
        <f t="shared" si="1"/>
        <v>0</v>
      </c>
      <c r="J13" s="1">
        <f t="shared" si="2"/>
        <v>1680000</v>
      </c>
      <c r="K13" s="1">
        <f t="shared" si="3"/>
        <v>420000</v>
      </c>
    </row>
    <row r="14" ht="17.5" spans="1:11">
      <c r="A14" s="3">
        <v>13</v>
      </c>
      <c r="B14" s="5" t="s">
        <v>51</v>
      </c>
      <c r="C14" s="3" t="s">
        <v>52</v>
      </c>
      <c r="D14" s="4">
        <v>21438</v>
      </c>
      <c r="E14" s="3">
        <v>180000</v>
      </c>
      <c r="F14" s="3">
        <v>23</v>
      </c>
      <c r="G14" s="3">
        <v>67</v>
      </c>
      <c r="H14" s="3">
        <f t="shared" si="0"/>
        <v>4140000</v>
      </c>
      <c r="I14" s="1">
        <f t="shared" si="1"/>
        <v>400000</v>
      </c>
      <c r="J14" s="1">
        <f t="shared" si="2"/>
        <v>3312000</v>
      </c>
      <c r="K14" s="1">
        <f t="shared" si="3"/>
        <v>1228000</v>
      </c>
    </row>
    <row r="15" spans="1:11">
      <c r="A15" s="3">
        <v>14</v>
      </c>
      <c r="B15" s="3" t="s">
        <v>53</v>
      </c>
      <c r="C15" s="3" t="s">
        <v>34</v>
      </c>
      <c r="D15" s="4">
        <v>19983</v>
      </c>
      <c r="E15" s="3">
        <v>160000</v>
      </c>
      <c r="F15" s="3">
        <v>27</v>
      </c>
      <c r="G15" s="3">
        <v>71</v>
      </c>
      <c r="H15" s="3">
        <f t="shared" si="0"/>
        <v>4320000</v>
      </c>
      <c r="I15" s="1">
        <f t="shared" si="1"/>
        <v>300000</v>
      </c>
      <c r="J15" s="1">
        <f t="shared" si="2"/>
        <v>3456000</v>
      </c>
      <c r="K15" s="1">
        <f t="shared" si="3"/>
        <v>1164000</v>
      </c>
    </row>
    <row r="16" spans="1:11">
      <c r="A16" s="3">
        <v>15</v>
      </c>
      <c r="B16" s="3" t="s">
        <v>54</v>
      </c>
      <c r="C16" s="3" t="s">
        <v>43</v>
      </c>
      <c r="D16" s="4">
        <v>25074</v>
      </c>
      <c r="E16" s="3">
        <v>130000</v>
      </c>
      <c r="F16" s="3">
        <v>26</v>
      </c>
      <c r="G16" s="3">
        <v>57</v>
      </c>
      <c r="H16" s="3">
        <f t="shared" si="0"/>
        <v>3380000</v>
      </c>
      <c r="I16" s="1">
        <f t="shared" si="1"/>
        <v>0</v>
      </c>
      <c r="J16" s="1">
        <f t="shared" si="2"/>
        <v>2704000</v>
      </c>
      <c r="K16" s="1">
        <f t="shared" si="3"/>
        <v>676000</v>
      </c>
    </row>
    <row r="17" spans="1:11">
      <c r="A17" s="6" t="s">
        <v>55</v>
      </c>
      <c r="B17" s="6"/>
      <c r="C17" s="6"/>
      <c r="D17" s="6"/>
      <c r="E17" s="6"/>
      <c r="F17" s="6"/>
      <c r="G17" s="7"/>
      <c r="H17" s="7">
        <f>SUM(H2:H16)</f>
        <v>50540000</v>
      </c>
      <c r="I17" s="1">
        <f>SUM(I2:I16)</f>
        <v>1700000</v>
      </c>
      <c r="J17" s="1">
        <f>SUM(J2:J16)</f>
        <v>40432000</v>
      </c>
      <c r="K17" s="1">
        <f>SUM(K2:K16)</f>
        <v>11808000</v>
      </c>
    </row>
    <row r="18" spans="1:11">
      <c r="A18" s="8" t="s">
        <v>56</v>
      </c>
      <c r="B18" s="8"/>
      <c r="C18" s="8"/>
      <c r="D18" s="8"/>
      <c r="E18" s="8"/>
      <c r="F18" s="8"/>
      <c r="G18" s="3"/>
      <c r="H18" s="3">
        <f>AVERAGE(H2:H16)</f>
        <v>3369333.33333333</v>
      </c>
      <c r="I18" s="1">
        <f>AVERAGE(I2:I16)</f>
        <v>113333.333333333</v>
      </c>
      <c r="J18" s="1">
        <f>AVERAGE(J2:J16)</f>
        <v>2695466.66666667</v>
      </c>
      <c r="K18" s="1">
        <f>AVERAGE(K2:K16)</f>
        <v>787200</v>
      </c>
    </row>
    <row r="19" spans="1:11">
      <c r="A19" s="8" t="s">
        <v>57</v>
      </c>
      <c r="B19" s="8"/>
      <c r="C19" s="8"/>
      <c r="D19" s="8"/>
      <c r="E19" s="8"/>
      <c r="F19" s="8"/>
      <c r="G19" s="3"/>
      <c r="H19" s="3">
        <f>MAX(H2:H16)</f>
        <v>4320000</v>
      </c>
      <c r="I19" s="3">
        <f t="shared" ref="I19:K19" si="4">MAX(I2:I16)</f>
        <v>400000</v>
      </c>
      <c r="J19" s="3">
        <f t="shared" si="4"/>
        <v>3456000</v>
      </c>
      <c r="K19" s="3">
        <f t="shared" si="4"/>
        <v>1228000</v>
      </c>
    </row>
    <row r="20" spans="1:11">
      <c r="A20" s="8" t="s">
        <v>58</v>
      </c>
      <c r="B20" s="8"/>
      <c r="C20" s="8"/>
      <c r="D20" s="8"/>
      <c r="E20" s="8"/>
      <c r="F20" s="8"/>
      <c r="G20" s="3"/>
      <c r="H20" s="3"/>
      <c r="I20" s="1"/>
      <c r="J20" s="1"/>
      <c r="K20" s="1"/>
    </row>
  </sheetData>
  <mergeCells count="4">
    <mergeCell ref="A17:F17"/>
    <mergeCell ref="A18:F18"/>
    <mergeCell ref="A19:F19"/>
    <mergeCell ref="A20:F2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K12" sqref="K12"/>
    </sheetView>
  </sheetViews>
  <sheetFormatPr defaultColWidth="9" defaultRowHeight="15.5"/>
  <cols>
    <col min="1" max="1" width="9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tên giàng</dc:creator>
  <cp:lastModifiedBy>Quỳnn Changg</cp:lastModifiedBy>
  <dcterms:created xsi:type="dcterms:W3CDTF">2025-12-22T15:02:00Z</dcterms:created>
  <dcterms:modified xsi:type="dcterms:W3CDTF">2025-12-24T15:03:19Z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1DF88A05AD7740BE81A8F4E61DD18FBC_13</vt:lpwstr>
  </property>
  <property fmtid="{D5CDD505-2E9C-101B-9397-08002B2CF9AE}" pid="3" name="KSOProductBuildVer">
    <vt:lpwstr>1033-12.2.0.23196</vt:lpwstr>
  </property>
</Properties>
</file>