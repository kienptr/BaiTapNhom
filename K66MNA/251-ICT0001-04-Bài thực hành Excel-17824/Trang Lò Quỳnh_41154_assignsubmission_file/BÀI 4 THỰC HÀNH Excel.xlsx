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02df679468a6c/"/>
    </mc:Choice>
  </mc:AlternateContent>
  <xr:revisionPtr revIDLastSave="384" documentId="8_{C7776834-E428-410A-A72D-7F1F39DA1BCC}" xr6:coauthVersionLast="47" xr6:coauthVersionMax="47" xr10:uidLastSave="{D7BCBAB7-E297-4F3E-BF8C-0E3201E37360}"/>
  <bookViews>
    <workbookView xWindow="-110" yWindow="-110" windowWidth="19420" windowHeight="10300" xr2:uid="{4D77BA35-4D8B-4A52-886F-7333B5D6D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H3" i="1"/>
  <c r="H4" i="1"/>
  <c r="H5" i="1"/>
  <c r="H6" i="1"/>
  <c r="H7" i="1"/>
  <c r="H8" i="1"/>
  <c r="H9" i="1"/>
  <c r="H2" i="1"/>
  <c r="D3" i="1"/>
  <c r="D4" i="1"/>
  <c r="D5" i="1"/>
  <c r="D6" i="1"/>
  <c r="D7" i="1"/>
  <c r="D8" i="1"/>
  <c r="D9" i="1"/>
  <c r="D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<sst xmlns="http://schemas.openxmlformats.org/spreadsheetml/2006/main" count="45" uniqueCount="31">
  <si>
    <t>STT</t>
  </si>
  <si>
    <t>MÃ HÀNG</t>
  </si>
  <si>
    <t>TÊN HÀNG</t>
  </si>
  <si>
    <t>GIÁ NHẬP</t>
  </si>
  <si>
    <t>SL NHẬP</t>
  </si>
  <si>
    <t>TIỀN NHẬP</t>
  </si>
  <si>
    <t>SL XUẤT</t>
  </si>
  <si>
    <t>GIÁ XUẤT</t>
  </si>
  <si>
    <t>TIỀN XUẤT</t>
  </si>
  <si>
    <t>GHI CHÚ</t>
  </si>
  <si>
    <t>CỘNG</t>
  </si>
  <si>
    <t>Pa0A12</t>
  </si>
  <si>
    <t>Pa0C15</t>
  </si>
  <si>
    <t>Sa0B2</t>
  </si>
  <si>
    <t>To0C23</t>
  </si>
  <si>
    <t>Hi0C12</t>
  </si>
  <si>
    <t>Hi0A13</t>
  </si>
  <si>
    <t>To0B12</t>
  </si>
  <si>
    <t>Máy lạnh Panasonic</t>
  </si>
  <si>
    <t>Máy lạnh Sanyo</t>
  </si>
  <si>
    <t>Máy lạnh Toshiba</t>
  </si>
  <si>
    <t>Máy lạnh Hitachi</t>
  </si>
  <si>
    <t>Bảng tra dữ liệu các loại máy tính :</t>
  </si>
  <si>
    <t>Pa</t>
  </si>
  <si>
    <t>To</t>
  </si>
  <si>
    <t>Sa</t>
  </si>
  <si>
    <t>Hi</t>
  </si>
  <si>
    <t>300$</t>
  </si>
  <si>
    <t>250$</t>
  </si>
  <si>
    <t>220$</t>
  </si>
  <si>
    <t>210$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</si>
</sst>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3DA5-3CB5-416B-8850-FD595E270EA2}">
  <dimension ref="A1:J17"/>
  <sheetViews>
    <sheetView tabSelected="1" workbookViewId="0">
      <selection activeCell="G2" sqref="G2"/>
    </sheetView>
  </sheetViews>
  <sheetFormatPr defaultRowHeight="14.5" x14ac:dyDescent="0.35"/>
  <cols>
    <col min="1" max="1" width="8.36328125" customWidth="1"/>
    <col min="2" max="2" width="9.36328125" customWidth="1"/>
    <col min="3" max="3" width="18.36328125" customWidth="1"/>
    <col min="4" max="4" width="9.54296875" customWidth="1"/>
    <col min="5" max="5" width="9.1796875" customWidth="1"/>
    <col min="6" max="6" width="9.54296875" bestFit="1" customWidth="1"/>
    <col min="7" max="9" width="9.45312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I1" s="3" t="s">
        <v>8</v>
      </c>
      <c r="J1" s="3" t="s">
        <v>9</v>
      </c>
    </row>
    <row r="2" spans="1:10" x14ac:dyDescent="0.35">
      <c r="A2" s="1">
        <v>1</v>
      </c>
      <c r="B2" s="1" t="s">
        <v>11</v>
      </c>
      <c r="C2" s="1" t="s">
        <v>18</v>
      </c>
      <c r="D2" s="1" t="str">
        <f>VLOOKUP(TEXT(LEFT(B2,2),"@"),$B$14:$F$18,3,0)</f>
        <v>300$</v>
      </c>
      <c r="E2" s="1">
        <f>VLOOKUP(TEXT(LEFT(B2,2),"@"),$B$14:$F$18,4,0)</f>
        <v>130</v>
      </c>
      <c r="F2" s="4">
        <f>PRODUCT(D2,E2)</f>
        <v>130</v>
      </c>
      <c r="G2" s="1"/>
      <c r="H2" s="1">
        <f>VLOOKUP(TEXT(LEFT(B2,2),"@"),$B$14:$F$18,5,0)</f>
        <v>100</v>
      </c>
      <c r="I2" s="1"/>
      <c r="J2" s="1"/>
    </row>
    <row r="3" spans="1:10" x14ac:dyDescent="0.35">
      <c r="A3" s="1">
        <v>2</v>
      </c>
      <c r="B3" s="1" t="s">
        <v>12</v>
      </c>
      <c r="C3" s="1" t="s">
        <v>18</v>
      </c>
      <c r="D3" s="1" t="str">
        <f t="shared" ref="D3:D9" si="0">VLOOKUP(TEXT(LEFT(B3,2),"@"),$B$14:$F$18,3,0)</f>
        <v>300$</v>
      </c>
      <c r="E3" s="1">
        <f t="shared" ref="E3:E9" si="1">VLOOKUP(TEXT(LEFT(B3,2),"@"),$B$14:$F$18,4,0)</f>
        <v>130</v>
      </c>
      <c r="F3" s="4">
        <f t="shared" ref="F3:F9" si="2">PRODUCT(D3,E3)</f>
        <v>130</v>
      </c>
      <c r="G3" s="1"/>
      <c r="H3" s="1">
        <f t="shared" ref="H3:H9" si="3">VLOOKUP(TEXT(LEFT(B3,2),"@"),$B$14:$F$18,5,0)</f>
        <v>100</v>
      </c>
      <c r="I3" s="1"/>
      <c r="J3" s="1"/>
    </row>
    <row r="4" spans="1:10" x14ac:dyDescent="0.35">
      <c r="A4" s="1">
        <v>3</v>
      </c>
      <c r="B4" s="1" t="s">
        <v>13</v>
      </c>
      <c r="C4" s="1" t="s">
        <v>19</v>
      </c>
      <c r="D4" s="1" t="str">
        <f t="shared" si="0"/>
        <v>210$</v>
      </c>
      <c r="E4" s="1">
        <f t="shared" si="1"/>
        <v>126</v>
      </c>
      <c r="F4" s="4">
        <f t="shared" si="2"/>
        <v>126</v>
      </c>
      <c r="G4" s="1"/>
      <c r="H4" s="1">
        <f t="shared" si="3"/>
        <v>85</v>
      </c>
      <c r="I4" s="1"/>
      <c r="J4" s="1"/>
    </row>
    <row r="5" spans="1:10" x14ac:dyDescent="0.35">
      <c r="A5" s="1">
        <v>4</v>
      </c>
      <c r="B5" s="1" t="s">
        <v>14</v>
      </c>
      <c r="C5" s="1" t="s">
        <v>20</v>
      </c>
      <c r="D5" s="1" t="str">
        <f t="shared" si="0"/>
        <v>250$</v>
      </c>
      <c r="E5" s="1">
        <f t="shared" si="1"/>
        <v>90</v>
      </c>
      <c r="F5" s="4">
        <f t="shared" si="2"/>
        <v>90</v>
      </c>
      <c r="G5" s="1"/>
      <c r="H5" s="1">
        <f t="shared" si="3"/>
        <v>60</v>
      </c>
      <c r="I5" s="1"/>
      <c r="J5" s="1"/>
    </row>
    <row r="6" spans="1:10" x14ac:dyDescent="0.35">
      <c r="A6" s="1">
        <v>5</v>
      </c>
      <c r="B6" s="1" t="s">
        <v>15</v>
      </c>
      <c r="C6" s="1" t="s">
        <v>21</v>
      </c>
      <c r="D6" s="1" t="str">
        <f t="shared" si="0"/>
        <v>220$</v>
      </c>
      <c r="E6" s="1">
        <f t="shared" si="1"/>
        <v>70</v>
      </c>
      <c r="F6" s="4">
        <f t="shared" si="2"/>
        <v>70</v>
      </c>
      <c r="G6" s="1"/>
      <c r="H6" s="1">
        <f t="shared" si="3"/>
        <v>30</v>
      </c>
      <c r="I6" s="1"/>
      <c r="J6" s="1"/>
    </row>
    <row r="7" spans="1:10" x14ac:dyDescent="0.35">
      <c r="A7" s="1">
        <v>6</v>
      </c>
      <c r="B7" s="1" t="s">
        <v>16</v>
      </c>
      <c r="C7" s="1" t="s">
        <v>21</v>
      </c>
      <c r="D7" s="1" t="str">
        <f t="shared" si="0"/>
        <v>220$</v>
      </c>
      <c r="E7" s="1">
        <f t="shared" si="1"/>
        <v>70</v>
      </c>
      <c r="F7" s="4">
        <f t="shared" si="2"/>
        <v>70</v>
      </c>
      <c r="G7" s="1"/>
      <c r="H7" s="1">
        <f t="shared" si="3"/>
        <v>30</v>
      </c>
      <c r="I7" s="1"/>
      <c r="J7" s="1"/>
    </row>
    <row r="8" spans="1:10" x14ac:dyDescent="0.35">
      <c r="A8" s="1">
        <v>7</v>
      </c>
      <c r="B8" s="1" t="s">
        <v>17</v>
      </c>
      <c r="C8" s="1" t="s">
        <v>20</v>
      </c>
      <c r="D8" s="1" t="str">
        <f t="shared" si="0"/>
        <v>250$</v>
      </c>
      <c r="E8" s="1">
        <f t="shared" si="1"/>
        <v>90</v>
      </c>
      <c r="F8" s="4">
        <f t="shared" si="2"/>
        <v>90</v>
      </c>
      <c r="G8" s="1"/>
      <c r="H8" s="1">
        <f t="shared" si="3"/>
        <v>60</v>
      </c>
      <c r="I8" s="1"/>
      <c r="J8" s="1"/>
    </row>
    <row r="9" spans="1:10" x14ac:dyDescent="0.35">
      <c r="A9" s="1">
        <v>8</v>
      </c>
      <c r="B9" s="1" t="s">
        <v>13</v>
      </c>
      <c r="C9" s="1" t="s">
        <v>19</v>
      </c>
      <c r="D9" s="1" t="str">
        <f t="shared" si="0"/>
        <v>210$</v>
      </c>
      <c r="E9" s="1">
        <f t="shared" si="1"/>
        <v>126</v>
      </c>
      <c r="F9" s="4">
        <f t="shared" si="2"/>
        <v>126</v>
      </c>
      <c r="G9" s="1"/>
      <c r="H9" s="1">
        <f t="shared" si="3"/>
        <v>85</v>
      </c>
      <c r="I9" s="1"/>
      <c r="J9" s="1"/>
    </row>
    <row r="10" spans="1:10" x14ac:dyDescent="0.35">
      <c r="A10" s="5" t="s">
        <v>10</v>
      </c>
      <c r="B10" s="6"/>
      <c r="C10" s="6"/>
      <c r="D10" s="1"/>
      <c r="E10" s="1"/>
      <c r="F10" s="1"/>
      <c r="G10" s="1"/>
      <c r="H10" s="1"/>
      <c r="I10" s="1"/>
      <c r="J10" s="1"/>
    </row>
    <row r="11" spans="1:1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5">
      <c r="A12" s="1"/>
      <c r="B12" s="5" t="s">
        <v>22</v>
      </c>
      <c r="C12" s="6"/>
      <c r="D12" s="6"/>
      <c r="E12" s="6"/>
      <c r="F12" s="1"/>
      <c r="G12" s="1"/>
      <c r="H12" s="1"/>
      <c r="I12" s="1"/>
      <c r="J12" s="1"/>
    </row>
    <row r="13" spans="1:10" x14ac:dyDescent="0.35">
      <c r="A13" s="1"/>
      <c r="B13" s="3" t="s">
        <v>1</v>
      </c>
      <c r="C13" s="3" t="s">
        <v>2</v>
      </c>
      <c r="D13" s="3" t="s">
        <v>3</v>
      </c>
      <c r="E13" s="3" t="s">
        <v>4</v>
      </c>
      <c r="F13" s="3" t="s">
        <v>6</v>
      </c>
      <c r="G13" s="2"/>
      <c r="H13" s="2"/>
      <c r="I13" s="1"/>
      <c r="J13" s="1"/>
    </row>
    <row r="14" spans="1:10" x14ac:dyDescent="0.35">
      <c r="A14" s="1"/>
      <c r="B14" s="1" t="s">
        <v>23</v>
      </c>
      <c r="C14" s="1" t="s">
        <v>18</v>
      </c>
      <c r="D14" s="1" t="s">
        <v>27</v>
      </c>
      <c r="E14" s="1">
        <v>130</v>
      </c>
      <c r="F14" s="1">
        <v>100</v>
      </c>
      <c r="G14" s="2"/>
      <c r="H14" s="2"/>
      <c r="I14" s="1"/>
      <c r="J14" s="1"/>
    </row>
    <row r="15" spans="1:10" x14ac:dyDescent="0.35">
      <c r="A15" s="1"/>
      <c r="B15" s="1" t="s">
        <v>24</v>
      </c>
      <c r="C15" s="1" t="s">
        <v>20</v>
      </c>
      <c r="D15" s="1" t="s">
        <v>28</v>
      </c>
      <c r="E15" s="1">
        <v>90</v>
      </c>
      <c r="F15" s="1">
        <v>60</v>
      </c>
      <c r="G15" s="2"/>
      <c r="H15" s="2"/>
      <c r="I15" s="1"/>
      <c r="J15" s="1"/>
    </row>
    <row r="16" spans="1:10" x14ac:dyDescent="0.35">
      <c r="A16" s="1"/>
      <c r="B16" s="1" t="s">
        <v>25</v>
      </c>
      <c r="C16" s="1" t="s">
        <v>19</v>
      </c>
      <c r="D16" s="1" t="s">
        <v>30</v>
      </c>
      <c r="E16" s="1">
        <v>126</v>
      </c>
      <c r="F16" s="1">
        <v>85</v>
      </c>
      <c r="G16" s="2"/>
      <c r="H16" s="2"/>
      <c r="I16" s="1"/>
      <c r="J16" s="1"/>
    </row>
    <row r="17" spans="1:10" x14ac:dyDescent="0.35">
      <c r="A17" s="1"/>
      <c r="B17" s="1" t="s">
        <v>26</v>
      </c>
      <c r="C17" s="1" t="s">
        <v>21</v>
      </c>
      <c r="D17" s="1" t="s">
        <v>29</v>
      </c>
      <c r="E17" s="1">
        <v>70</v>
      </c>
      <c r="F17" s="1">
        <v>30</v>
      </c>
      <c r="G17" s="2"/>
      <c r="H17" s="2"/>
      <c r="I17" s="1"/>
      <c r="J17" s="1"/>
    </row>
  </sheetData>
  <mergeCells count="2">
    <mergeCell ref="A10:C10"/>
    <mergeCell ref="B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Trangg Quynhh</dc:creator>
  <cp:lastModifiedBy>Trangg Quynhh</cp:lastModifiedBy>
  <dcterms:created xsi:type="dcterms:W3CDTF">2025-12-24T03:00:52Z</dcterms:created>
  <dcterms:modified xsi:type="dcterms:W3CDTF">2025-12-24T15:18:01Z</dcterms:modified>
</cp:coreProperties>
</file>