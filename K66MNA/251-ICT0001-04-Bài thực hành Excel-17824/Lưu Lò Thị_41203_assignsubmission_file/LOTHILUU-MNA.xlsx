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Bài tập tin\"/>
    </mc:Choice>
  </mc:AlternateContent>
  <bookViews>
    <workbookView xWindow="0" yWindow="0" windowWidth="23040" windowHeight="9072" activeTab="2"/>
  </bookViews>
  <sheets>
    <sheet name="Sheet4" sheetId="4" r:id="rId1"/>
    <sheet name="Sheet2" sheetId="2" r:id="rId2"/>
    <sheet name="Sheet3" sheetId="3" r:id="rId3"/>
    <sheet name="Sheet1" sheetId="1" r:id="rId4"/>
  </sheets>
  <definedNames>
    <definedName name="_xlnm._FilterDatabase" localSheetId="2" hidden="1">Sheet3!$B$3:$K$12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3" l="1"/>
  <c r="I12" i="3" s="1"/>
  <c r="H12" i="3"/>
  <c r="G12" i="3"/>
  <c r="F12" i="3"/>
  <c r="J11" i="3"/>
  <c r="J10" i="3"/>
  <c r="J9" i="3"/>
  <c r="J8" i="3"/>
  <c r="J6" i="3"/>
  <c r="J5" i="3"/>
  <c r="E5" i="3"/>
  <c r="E6" i="3"/>
  <c r="E7" i="3"/>
  <c r="H7" i="3" s="1"/>
  <c r="E8" i="3"/>
  <c r="E9" i="3"/>
  <c r="E10" i="3"/>
  <c r="E11" i="3"/>
  <c r="H5" i="3"/>
  <c r="H11" i="3"/>
  <c r="H10" i="3"/>
  <c r="H9" i="3"/>
  <c r="H8" i="3"/>
  <c r="H6" i="3"/>
  <c r="I4" i="3"/>
  <c r="F11" i="3"/>
  <c r="J7" i="3" l="1"/>
  <c r="J12" i="3" s="1"/>
  <c r="F10" i="3" l="1"/>
  <c r="F7" i="3"/>
  <c r="F8" i="3"/>
  <c r="I11" i="3"/>
  <c r="I10" i="3"/>
  <c r="I9" i="3"/>
  <c r="I8" i="3"/>
  <c r="I6" i="3"/>
  <c r="I5" i="3"/>
  <c r="F9" i="3"/>
  <c r="F6" i="3"/>
  <c r="F5" i="3"/>
  <c r="F4" i="3"/>
  <c r="G11" i="3"/>
  <c r="G6" i="3"/>
  <c r="G5" i="3"/>
  <c r="E4" i="3"/>
  <c r="G4" i="3" s="1"/>
  <c r="G8" i="3" l="1"/>
  <c r="G7" i="3"/>
  <c r="G10" i="3"/>
  <c r="G9" i="3"/>
  <c r="K4" i="3"/>
  <c r="K5" i="3"/>
  <c r="H4" i="3"/>
  <c r="J4" i="3" s="1"/>
  <c r="K9" i="3"/>
  <c r="K10" i="3"/>
  <c r="K6" i="3"/>
  <c r="K11" i="3"/>
  <c r="E12" i="3"/>
  <c r="K8" i="3"/>
  <c r="K7" i="3"/>
  <c r="I5" i="4" l="1"/>
  <c r="K16" i="4"/>
  <c r="K15" i="4"/>
  <c r="K14" i="4"/>
  <c r="K13" i="4"/>
  <c r="K12" i="4"/>
  <c r="K11" i="4"/>
  <c r="K10" i="4"/>
  <c r="K9" i="4"/>
  <c r="K8" i="4"/>
  <c r="K7" i="4"/>
  <c r="K6" i="4"/>
  <c r="I16" i="4"/>
  <c r="I15" i="4"/>
  <c r="I14" i="4"/>
  <c r="I13" i="4"/>
  <c r="I12" i="4"/>
  <c r="I11" i="4"/>
  <c r="I10" i="4"/>
  <c r="I9" i="4"/>
  <c r="I8" i="4"/>
  <c r="I7" i="4"/>
  <c r="I6" i="4"/>
  <c r="D4" i="3" l="1"/>
  <c r="D11" i="3"/>
  <c r="D10" i="3"/>
  <c r="D9" i="3"/>
  <c r="D8" i="3"/>
  <c r="D7" i="3"/>
  <c r="D6" i="3"/>
  <c r="D5" i="3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4" i="2"/>
  <c r="L4" i="2" s="1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17" i="4"/>
  <c r="I19" i="4"/>
  <c r="I18" i="4"/>
  <c r="L16" i="4"/>
  <c r="L15" i="4"/>
  <c r="L14" i="4"/>
  <c r="L13" i="4"/>
  <c r="L12" i="4"/>
  <c r="L11" i="4"/>
  <c r="L10" i="4"/>
  <c r="L9" i="4"/>
  <c r="L8" i="4"/>
  <c r="L7" i="4"/>
  <c r="L6" i="4"/>
  <c r="K5" i="4"/>
  <c r="L5" i="4" s="1"/>
  <c r="K5" i="2" l="1"/>
  <c r="L5" i="2" s="1"/>
  <c r="J16" i="4"/>
  <c r="J15" i="4"/>
  <c r="J14" i="4"/>
  <c r="J13" i="4"/>
  <c r="J12" i="4"/>
  <c r="J11" i="4"/>
  <c r="J10" i="4"/>
  <c r="J9" i="4"/>
  <c r="J8" i="4"/>
  <c r="J7" i="4"/>
  <c r="J6" i="4"/>
  <c r="J5" i="4"/>
  <c r="I10" i="1"/>
  <c r="I9" i="1"/>
  <c r="I8" i="1"/>
  <c r="I7" i="1"/>
  <c r="I6" i="1"/>
  <c r="I5" i="1"/>
  <c r="H10" i="1"/>
  <c r="H9" i="1"/>
  <c r="H8" i="1"/>
  <c r="H7" i="1"/>
  <c r="H6" i="1"/>
  <c r="H5" i="1"/>
  <c r="G10" i="1"/>
  <c r="G9" i="1"/>
  <c r="G8" i="1"/>
  <c r="G7" i="1"/>
  <c r="G6" i="1"/>
  <c r="G5" i="1"/>
  <c r="L21" i="2" l="1"/>
  <c r="L20" i="2"/>
  <c r="L22" i="2"/>
  <c r="L19" i="2"/>
</calcChain>
</file>

<file path=xl/sharedStrings.xml><?xml version="1.0" encoding="utf-8"?>
<sst xmlns="http://schemas.openxmlformats.org/spreadsheetml/2006/main" count="167" uniqueCount="114">
  <si>
    <t>Bảng tính 2:</t>
  </si>
  <si>
    <t>DANH SÁCH THƯỞNG THÁNG 03</t>
  </si>
  <si>
    <t>STT</t>
  </si>
  <si>
    <t>HỌ</t>
  </si>
  <si>
    <t>TÊN</t>
  </si>
  <si>
    <t>PHÁI</t>
  </si>
  <si>
    <t>NGÀY CÔNG</t>
  </si>
  <si>
    <t>THƯỞNG 8-3</t>
  </si>
  <si>
    <t>THƯỞNG A</t>
  </si>
  <si>
    <t>Trần Thanh</t>
  </si>
  <si>
    <t>Phạm Hùng</t>
  </si>
  <si>
    <t>Lê Ngọc</t>
  </si>
  <si>
    <t>Phạm Thanh</t>
  </si>
  <si>
    <t>Phạm Hoài</t>
  </si>
  <si>
    <t>Lê Thanh</t>
  </si>
  <si>
    <t>Tuân</t>
  </si>
  <si>
    <t>Cường</t>
  </si>
  <si>
    <t>Xuân</t>
  </si>
  <si>
    <t>Long</t>
  </si>
  <si>
    <t xml:space="preserve">Nam </t>
  </si>
  <si>
    <t>Lan</t>
  </si>
  <si>
    <t>NAM</t>
  </si>
  <si>
    <t>NỮ</t>
  </si>
  <si>
    <t>Bảng tính 3:</t>
  </si>
  <si>
    <t>HỌ VÀ TÊN</t>
  </si>
  <si>
    <t>CHỨC VỤ</t>
  </si>
  <si>
    <t>NĂM SINH</t>
  </si>
  <si>
    <t>LCB</t>
  </si>
  <si>
    <t>NGÀY</t>
  </si>
  <si>
    <t>LƯƠNG</t>
  </si>
  <si>
    <t>TẠM ỨNG</t>
  </si>
  <si>
    <t xml:space="preserve">Nguyễn Văn Tâm </t>
  </si>
  <si>
    <t>Nguyễn Thị Hằng</t>
  </si>
  <si>
    <t xml:space="preserve">Ngô Thị Nga </t>
  </si>
  <si>
    <t>Trần Thiên Thu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</si>
  <si>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</si>
  <si>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</si>
  <si>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</si>
  <si>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</si>
  <si>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</si>
  <si>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</si>
  <si>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</si>
  <si>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</si>
  <si>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</si>
  <si>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</si>
  <si>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</si>
  <si>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</si>
  <si>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</si>
  <si>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</si>
  <si>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</si>
  <si>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</si>
  <si>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</si>
  <si>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</si>
  <si>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TỔNG CỘNG</t>
  </si>
  <si>
    <t>BÌNH QUÂN</t>
  </si>
  <si>
    <t>CAO NHẤT</t>
  </si>
  <si>
    <t>THẤP NHẤT</t>
  </si>
  <si>
    <t>Bảng tính 4:</t>
  </si>
  <si>
    <t>MÃ HÀNG</t>
  </si>
  <si>
    <t>TÊN HÀNG</t>
  </si>
  <si>
    <t>GIÁ NHẬP</t>
  </si>
  <si>
    <t>SL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</si>
  <si>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</si>
  <si>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</si>
  <si>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</si>
  <si>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</si>
  <si>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</si>
  <si>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</si>
  <si>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</si>
  <si>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</si>
  <si>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</t>
  </si>
  <si>
    <t>Hi0C12</t>
  </si>
  <si>
    <t>Hi0A13</t>
  </si>
  <si>
    <t>To0B12</t>
  </si>
  <si>
    <t>Cộng</t>
  </si>
  <si>
    <t>Bảng tra dữ liệu các loại máy lạnh:</t>
  </si>
  <si>
    <t>Pa</t>
  </si>
  <si>
    <t>To</t>
  </si>
  <si>
    <t>Sa</t>
  </si>
  <si>
    <t>Máy lạnh Panasonic</t>
  </si>
  <si>
    <t>Máy lạnh Toshiba</t>
  </si>
  <si>
    <t>Máy lạnh Sanyo</t>
  </si>
  <si>
    <t>Máy lạnh Hitachi</t>
  </si>
  <si>
    <t>KẾT QUẢ THI CUỐI KHÓA</t>
  </si>
  <si>
    <t>TÊN HS</t>
  </si>
  <si>
    <t>NS</t>
  </si>
  <si>
    <t>TOÁN</t>
  </si>
  <si>
    <t>VĂN</t>
  </si>
  <si>
    <t>NGOẠI NGỮ</t>
  </si>
  <si>
    <t>ĐTB</t>
  </si>
  <si>
    <t>KQ</t>
  </si>
  <si>
    <t>XẾP HẠNG</t>
  </si>
  <si>
    <t xml:space="preserve">LÂM </t>
  </si>
  <si>
    <t>HẢI</t>
  </si>
  <si>
    <t>HIỆP</t>
  </si>
  <si>
    <t>THẢO</t>
  </si>
  <si>
    <t>MINH</t>
  </si>
  <si>
    <t>HỒNG</t>
  </si>
  <si>
    <t xml:space="preserve">LINH </t>
  </si>
  <si>
    <t>DIỄM</t>
  </si>
  <si>
    <t>NGA</t>
  </si>
  <si>
    <t>KHOA</t>
  </si>
  <si>
    <t>SƠN</t>
  </si>
  <si>
    <t>TRUNG BÌNH</t>
  </si>
  <si>
    <t>BÀI 1</t>
  </si>
  <si>
    <t>Bảng tính 1:</t>
  </si>
  <si>
    <t>THƯỞNG B</t>
  </si>
  <si>
    <t>CÒN LẠI</t>
  </si>
  <si>
    <t>KHEN THƯỞNG</t>
  </si>
  <si>
    <t>TUỔI</t>
  </si>
  <si>
    <t>THƯỞNG</t>
  </si>
  <si>
    <t>TIỀN NHẬP</t>
  </si>
  <si>
    <t>DANH SÁCH CÁC MẶT HÀNG CÓ TIỀN XUẤT &gt;=20000</t>
  </si>
  <si>
    <t>Bán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</si>
</sst>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\ _₫_-;\-* #,##0\ _₫_-;_-* &quot;-&quot;\ _₫_-;_-@_-"/>
    <numFmt numFmtId="164" formatCode="0.0"/>
  </numFmts>
  <fonts count="1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22"/>
      <color theme="1"/>
      <name val="Baskerville Old Face"/>
      <family val="1"/>
    </font>
    <font>
      <sz val="11"/>
      <color theme="1"/>
      <name val="Baskerville Old Face"/>
      <family val="1"/>
    </font>
    <font>
      <b/>
      <sz val="11"/>
      <color theme="1"/>
      <name val="Baskerville Old Face"/>
      <family val="1"/>
    </font>
    <font>
      <sz val="18"/>
      <color theme="1"/>
      <name val="Bodoni MT"/>
      <family val="1"/>
    </font>
    <font>
      <sz val="11"/>
      <color theme="1"/>
      <name val="Bodoni MT"/>
      <family val="1"/>
    </font>
    <font>
      <b/>
      <sz val="11"/>
      <color theme="1"/>
      <name val="Bodoni MT"/>
      <family val="1"/>
    </font>
    <font>
      <b/>
      <i/>
      <sz val="11"/>
      <color theme="1"/>
      <name val="Bodoni MT"/>
      <family val="1"/>
    </font>
    <font>
      <sz val="14"/>
      <color theme="1"/>
      <name val="Bodoni MT"/>
      <family val="1"/>
    </font>
    <font>
      <sz val="12"/>
      <color theme="1"/>
      <name val="Bodoni MT"/>
      <family val="1"/>
    </font>
    <font>
      <b/>
      <sz val="12"/>
      <color theme="1"/>
      <name val="Bodoni MT"/>
      <family val="1"/>
    </font>
    <font>
      <b/>
      <sz val="14"/>
      <color theme="1"/>
      <name val="Bodoni MT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3" fillId="0" borderId="1" xfId="0" applyFont="1" applyBorder="1"/>
    <xf numFmtId="0" fontId="3" fillId="0" borderId="8" xfId="0" applyFont="1" applyBorder="1"/>
    <xf numFmtId="0" fontId="6" fillId="0" borderId="1" xfId="0" applyFont="1" applyBorder="1"/>
    <xf numFmtId="0" fontId="6" fillId="0" borderId="6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0" xfId="0" applyFont="1"/>
    <xf numFmtId="0" fontId="3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7" xfId="0" applyFont="1" applyBorder="1" applyAlignment="1">
      <alignment horizontal="center"/>
    </xf>
    <xf numFmtId="0" fontId="9" fillId="0" borderId="8" xfId="0" applyFont="1" applyBorder="1"/>
    <xf numFmtId="0" fontId="9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4" fontId="10" fillId="0" borderId="1" xfId="0" applyNumberFormat="1" applyFont="1" applyBorder="1"/>
    <xf numFmtId="0" fontId="10" fillId="0" borderId="5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9" xfId="0" applyBorder="1"/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6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9" fillId="0" borderId="6" xfId="0" applyFont="1" applyBorder="1"/>
    <xf numFmtId="0" fontId="0" fillId="0" borderId="1" xfId="0" applyBorder="1"/>
    <xf numFmtId="0" fontId="0" fillId="0" borderId="8" xfId="0" applyBorder="1"/>
    <xf numFmtId="0" fontId="6" fillId="0" borderId="1" xfId="0" applyNumberFormat="1" applyFont="1" applyBorder="1"/>
    <xf numFmtId="0" fontId="6" fillId="0" borderId="16" xfId="0" applyFont="1" applyBorder="1"/>
    <xf numFmtId="0" fontId="6" fillId="0" borderId="17" xfId="0" applyFont="1" applyBorder="1"/>
    <xf numFmtId="0" fontId="3" fillId="0" borderId="17" xfId="0" applyFont="1" applyBorder="1" applyAlignment="1">
      <alignment horizontal="center"/>
    </xf>
    <xf numFmtId="0" fontId="0" fillId="0" borderId="18" xfId="0" applyBorder="1"/>
    <xf numFmtId="0" fontId="3" fillId="0" borderId="3" xfId="0" applyFont="1" applyBorder="1"/>
    <xf numFmtId="0" fontId="0" fillId="0" borderId="4" xfId="0" applyBorder="1"/>
    <xf numFmtId="2" fontId="3" fillId="0" borderId="1" xfId="0" applyNumberFormat="1" applyFont="1" applyBorder="1"/>
    <xf numFmtId="164" fontId="6" fillId="0" borderId="1" xfId="0" applyNumberFormat="1" applyFont="1" applyBorder="1" applyAlignment="1">
      <alignment horizontal="right"/>
    </xf>
    <xf numFmtId="164" fontId="6" fillId="0" borderId="17" xfId="0" applyNumberFormat="1" applyFont="1" applyBorder="1" applyAlignment="1">
      <alignment horizontal="right"/>
    </xf>
    <xf numFmtId="2" fontId="3" fillId="0" borderId="3" xfId="0" applyNumberFormat="1" applyFont="1" applyBorder="1"/>
    <xf numFmtId="2" fontId="3" fillId="0" borderId="8" xfId="0" applyNumberFormat="1" applyFont="1" applyBorder="1"/>
    <xf numFmtId="0" fontId="7" fillId="2" borderId="3" xfId="0" applyFont="1" applyFill="1" applyBorder="1" applyAlignment="1">
      <alignment horizontal="center" vertical="center"/>
    </xf>
    <xf numFmtId="0" fontId="6" fillId="0" borderId="1" xfId="0" quotePrefix="1" applyFont="1" applyBorder="1"/>
    <xf numFmtId="41" fontId="6" fillId="0" borderId="1" xfId="0" quotePrefix="1" applyNumberFormat="1" applyFont="1" applyBorder="1"/>
    <xf numFmtId="41" fontId="10" fillId="0" borderId="1" xfId="0" applyNumberFormat="1" applyFont="1" applyBorder="1" applyAlignment="1">
      <alignment horizontal="right"/>
    </xf>
    <xf numFmtId="41" fontId="10" fillId="0" borderId="8" xfId="0" applyNumberFormat="1" applyFont="1" applyBorder="1" applyAlignment="1">
      <alignment horizontal="right"/>
    </xf>
    <xf numFmtId="1" fontId="6" fillId="0" borderId="1" xfId="0" applyNumberFormat="1" applyFont="1" applyBorder="1"/>
    <xf numFmtId="12" fontId="6" fillId="0" borderId="8" xfId="0" applyNumberFormat="1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2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0" fillId="0" borderId="6" xfId="0" applyFont="1" applyBorder="1"/>
    <xf numFmtId="0" fontId="10" fillId="0" borderId="9" xfId="0" applyFont="1" applyBorder="1"/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2" fontId="6" fillId="0" borderId="8" xfId="0" applyNumberFormat="1" applyFont="1" applyBorder="1" applyAlignment="1">
      <alignment vertical="center"/>
    </xf>
    <xf numFmtId="12" fontId="6" fillId="0" borderId="8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L5" sqref="L5"/>
    </sheetView>
  </sheetViews>
  <sheetFormatPr defaultRowHeight="14.4" x14ac:dyDescent="0.3"/>
  <cols>
    <col min="2" max="2" width="5.5546875" customWidth="1"/>
    <col min="8" max="8" width="13.33203125" customWidth="1"/>
    <col min="9" max="9" width="9.21875" bestFit="1" customWidth="1"/>
    <col min="11" max="11" width="12.77734375" customWidth="1"/>
    <col min="12" max="12" width="17.44140625" customWidth="1"/>
  </cols>
  <sheetData>
    <row r="1" spans="1:12" x14ac:dyDescent="0.3">
      <c r="A1" s="1" t="s">
        <v>104</v>
      </c>
    </row>
    <row r="2" spans="1:12" ht="15" thickBot="1" x14ac:dyDescent="0.35">
      <c r="B2" s="1" t="s">
        <v>105</v>
      </c>
      <c r="C2" s="1"/>
    </row>
    <row r="3" spans="1:12" ht="28.8" x14ac:dyDescent="0.55000000000000004">
      <c r="B3" s="70" t="s">
        <v>83</v>
      </c>
      <c r="C3" s="71"/>
      <c r="D3" s="71"/>
      <c r="E3" s="71"/>
      <c r="F3" s="71"/>
      <c r="G3" s="71"/>
      <c r="H3" s="71"/>
      <c r="I3" s="71"/>
      <c r="J3" s="71"/>
      <c r="K3" s="71"/>
      <c r="L3" s="72"/>
    </row>
    <row r="4" spans="1:12" ht="23.4" customHeight="1" x14ac:dyDescent="0.3">
      <c r="B4" s="27" t="s">
        <v>2</v>
      </c>
      <c r="C4" s="28" t="s">
        <v>84</v>
      </c>
      <c r="D4" s="29" t="s">
        <v>5</v>
      </c>
      <c r="E4" s="29" t="s">
        <v>85</v>
      </c>
      <c r="F4" s="29" t="s">
        <v>86</v>
      </c>
      <c r="G4" s="29" t="s">
        <v>87</v>
      </c>
      <c r="H4" s="29" t="s">
        <v>88</v>
      </c>
      <c r="I4" s="29" t="s">
        <v>89</v>
      </c>
      <c r="J4" s="29" t="s">
        <v>90</v>
      </c>
      <c r="K4" s="29" t="s">
        <v>91</v>
      </c>
      <c r="L4" s="30" t="s">
        <v>108</v>
      </c>
    </row>
    <row r="5" spans="1:12" x14ac:dyDescent="0.3">
      <c r="B5" s="41">
        <v>1</v>
      </c>
      <c r="C5" s="5" t="s">
        <v>92</v>
      </c>
      <c r="D5" s="5" t="s">
        <v>21</v>
      </c>
      <c r="E5" s="5">
        <v>1988</v>
      </c>
      <c r="F5" s="53">
        <v>10</v>
      </c>
      <c r="G5" s="53">
        <v>8</v>
      </c>
      <c r="H5" s="53">
        <v>9</v>
      </c>
      <c r="I5" s="52">
        <f>AVERAGE(F5,G5,H5)</f>
        <v>9</v>
      </c>
      <c r="J5" s="10" t="str">
        <f>IF(I5&gt;=5,"Đạt","Rớt")</f>
        <v>Đạt</v>
      </c>
      <c r="K5" s="3">
        <f>RANK(I5,$I$5:$I$16)</f>
        <v>1</v>
      </c>
      <c r="L5" s="25">
        <f>IF(K5=1,200000,IF(K5=2,100000,0))</f>
        <v>200000</v>
      </c>
    </row>
    <row r="6" spans="1:12" x14ac:dyDescent="0.3">
      <c r="B6" s="41">
        <v>2</v>
      </c>
      <c r="C6" s="5" t="s">
        <v>93</v>
      </c>
      <c r="D6" s="5" t="s">
        <v>21</v>
      </c>
      <c r="E6" s="5">
        <v>1987</v>
      </c>
      <c r="F6" s="53">
        <v>8</v>
      </c>
      <c r="G6" s="53">
        <v>8.5</v>
      </c>
      <c r="H6" s="53">
        <v>9</v>
      </c>
      <c r="I6" s="52">
        <f t="shared" ref="I6:I16" si="0">AVERAGE(F6,G6,H6)</f>
        <v>8.5</v>
      </c>
      <c r="J6" s="10" t="str">
        <f t="shared" ref="J6:J15" si="1">IF(I6&gt;=5,"Đạt","Rớt")</f>
        <v>Đạt</v>
      </c>
      <c r="K6" s="3">
        <f t="shared" ref="K6:K16" si="2">RANK(I6,$I$5:$I$16)</f>
        <v>2</v>
      </c>
      <c r="L6" s="25">
        <f t="shared" ref="L6:L16" si="3">IF(K6=1,200000,IF(K6=2,100000,0))</f>
        <v>100000</v>
      </c>
    </row>
    <row r="7" spans="1:12" x14ac:dyDescent="0.3">
      <c r="B7" s="41">
        <v>3</v>
      </c>
      <c r="C7" s="5" t="s">
        <v>94</v>
      </c>
      <c r="D7" s="5" t="s">
        <v>21</v>
      </c>
      <c r="E7" s="5">
        <v>1986</v>
      </c>
      <c r="F7" s="53">
        <v>9</v>
      </c>
      <c r="G7" s="53">
        <v>8</v>
      </c>
      <c r="H7" s="53">
        <v>7</v>
      </c>
      <c r="I7" s="52">
        <f t="shared" si="0"/>
        <v>8</v>
      </c>
      <c r="J7" s="10" t="str">
        <f t="shared" si="1"/>
        <v>Đạt</v>
      </c>
      <c r="K7" s="3">
        <f t="shared" si="2"/>
        <v>3</v>
      </c>
      <c r="L7" s="25">
        <f t="shared" si="3"/>
        <v>0</v>
      </c>
    </row>
    <row r="8" spans="1:12" x14ac:dyDescent="0.3">
      <c r="B8" s="41">
        <v>4</v>
      </c>
      <c r="C8" s="5" t="s">
        <v>95</v>
      </c>
      <c r="D8" s="5" t="s">
        <v>22</v>
      </c>
      <c r="E8" s="5">
        <v>1988</v>
      </c>
      <c r="F8" s="53">
        <v>10</v>
      </c>
      <c r="G8" s="53">
        <v>4</v>
      </c>
      <c r="H8" s="53">
        <v>7</v>
      </c>
      <c r="I8" s="52">
        <f t="shared" si="0"/>
        <v>7</v>
      </c>
      <c r="J8" s="10" t="str">
        <f t="shared" si="1"/>
        <v>Đạt</v>
      </c>
      <c r="K8" s="3">
        <f t="shared" si="2"/>
        <v>4</v>
      </c>
      <c r="L8" s="25">
        <f t="shared" si="3"/>
        <v>0</v>
      </c>
    </row>
    <row r="9" spans="1:12" x14ac:dyDescent="0.3">
      <c r="B9" s="41">
        <v>5</v>
      </c>
      <c r="C9" s="5" t="s">
        <v>96</v>
      </c>
      <c r="D9" s="5" t="s">
        <v>21</v>
      </c>
      <c r="E9" s="5">
        <v>1988</v>
      </c>
      <c r="F9" s="53">
        <v>9</v>
      </c>
      <c r="G9" s="53">
        <v>5</v>
      </c>
      <c r="H9" s="53">
        <v>6</v>
      </c>
      <c r="I9" s="52">
        <f t="shared" si="0"/>
        <v>6.666666666666667</v>
      </c>
      <c r="J9" s="10" t="str">
        <f t="shared" si="1"/>
        <v>Đạt</v>
      </c>
      <c r="K9" s="3">
        <f t="shared" si="2"/>
        <v>5</v>
      </c>
      <c r="L9" s="25">
        <f t="shared" si="3"/>
        <v>0</v>
      </c>
    </row>
    <row r="10" spans="1:12" x14ac:dyDescent="0.3">
      <c r="B10" s="41">
        <v>6</v>
      </c>
      <c r="C10" s="5" t="s">
        <v>97</v>
      </c>
      <c r="D10" s="5" t="s">
        <v>22</v>
      </c>
      <c r="E10" s="5">
        <v>1987</v>
      </c>
      <c r="F10" s="53">
        <v>6</v>
      </c>
      <c r="G10" s="53">
        <v>6</v>
      </c>
      <c r="H10" s="53">
        <v>8</v>
      </c>
      <c r="I10" s="52">
        <f t="shared" si="0"/>
        <v>6.666666666666667</v>
      </c>
      <c r="J10" s="10" t="str">
        <f t="shared" si="1"/>
        <v>Đạt</v>
      </c>
      <c r="K10" s="3">
        <f t="shared" si="2"/>
        <v>5</v>
      </c>
      <c r="L10" s="25">
        <f t="shared" si="3"/>
        <v>0</v>
      </c>
    </row>
    <row r="11" spans="1:12" x14ac:dyDescent="0.3">
      <c r="B11" s="41">
        <v>7</v>
      </c>
      <c r="C11" s="5" t="s">
        <v>98</v>
      </c>
      <c r="D11" s="5" t="s">
        <v>21</v>
      </c>
      <c r="E11" s="5">
        <v>1986</v>
      </c>
      <c r="F11" s="53">
        <v>7.5</v>
      </c>
      <c r="G11" s="53">
        <v>5</v>
      </c>
      <c r="H11" s="53">
        <v>6</v>
      </c>
      <c r="I11" s="52">
        <f t="shared" si="0"/>
        <v>6.166666666666667</v>
      </c>
      <c r="J11" s="10" t="str">
        <f t="shared" si="1"/>
        <v>Đạt</v>
      </c>
      <c r="K11" s="3">
        <f t="shared" si="2"/>
        <v>8</v>
      </c>
      <c r="L11" s="25">
        <f t="shared" si="3"/>
        <v>0</v>
      </c>
    </row>
    <row r="12" spans="1:12" x14ac:dyDescent="0.3">
      <c r="B12" s="41">
        <v>8</v>
      </c>
      <c r="C12" s="5" t="s">
        <v>21</v>
      </c>
      <c r="D12" s="5" t="s">
        <v>21</v>
      </c>
      <c r="E12" s="5">
        <v>1988</v>
      </c>
      <c r="F12" s="53">
        <v>3</v>
      </c>
      <c r="G12" s="53">
        <v>9</v>
      </c>
      <c r="H12" s="53">
        <v>7</v>
      </c>
      <c r="I12" s="52">
        <f t="shared" si="0"/>
        <v>6.333333333333333</v>
      </c>
      <c r="J12" s="10" t="str">
        <f t="shared" si="1"/>
        <v>Đạt</v>
      </c>
      <c r="K12" s="3">
        <f t="shared" si="2"/>
        <v>7</v>
      </c>
      <c r="L12" s="25">
        <f t="shared" si="3"/>
        <v>0</v>
      </c>
    </row>
    <row r="13" spans="1:12" x14ac:dyDescent="0.3">
      <c r="B13" s="41">
        <v>9</v>
      </c>
      <c r="C13" s="5" t="s">
        <v>99</v>
      </c>
      <c r="D13" s="5" t="s">
        <v>22</v>
      </c>
      <c r="E13" s="5">
        <v>1988</v>
      </c>
      <c r="F13" s="53">
        <v>4</v>
      </c>
      <c r="G13" s="53">
        <v>5</v>
      </c>
      <c r="H13" s="53">
        <v>5.5</v>
      </c>
      <c r="I13" s="52">
        <f t="shared" si="0"/>
        <v>4.833333333333333</v>
      </c>
      <c r="J13" s="10" t="str">
        <f t="shared" si="1"/>
        <v>Rớt</v>
      </c>
      <c r="K13" s="3">
        <f t="shared" si="2"/>
        <v>9</v>
      </c>
      <c r="L13" s="25">
        <f t="shared" si="3"/>
        <v>0</v>
      </c>
    </row>
    <row r="14" spans="1:12" x14ac:dyDescent="0.3">
      <c r="B14" s="41">
        <v>10</v>
      </c>
      <c r="C14" s="5" t="s">
        <v>100</v>
      </c>
      <c r="D14" s="5" t="s">
        <v>22</v>
      </c>
      <c r="E14" s="5">
        <v>1988</v>
      </c>
      <c r="F14" s="53">
        <v>4.5</v>
      </c>
      <c r="G14" s="53">
        <v>6</v>
      </c>
      <c r="H14" s="53">
        <v>4</v>
      </c>
      <c r="I14" s="52">
        <f t="shared" si="0"/>
        <v>4.833333333333333</v>
      </c>
      <c r="J14" s="10" t="str">
        <f t="shared" si="1"/>
        <v>Rớt</v>
      </c>
      <c r="K14" s="3">
        <f t="shared" si="2"/>
        <v>9</v>
      </c>
      <c r="L14" s="25">
        <f t="shared" si="3"/>
        <v>0</v>
      </c>
    </row>
    <row r="15" spans="1:12" x14ac:dyDescent="0.3">
      <c r="B15" s="41">
        <v>11</v>
      </c>
      <c r="C15" s="5" t="s">
        <v>101</v>
      </c>
      <c r="D15" s="5" t="s">
        <v>21</v>
      </c>
      <c r="E15" s="5">
        <v>1987</v>
      </c>
      <c r="F15" s="53">
        <v>3</v>
      </c>
      <c r="G15" s="53">
        <v>5</v>
      </c>
      <c r="H15" s="53">
        <v>5</v>
      </c>
      <c r="I15" s="52">
        <f t="shared" si="0"/>
        <v>4.333333333333333</v>
      </c>
      <c r="J15" s="10" t="str">
        <f t="shared" si="1"/>
        <v>Rớt</v>
      </c>
      <c r="K15" s="3">
        <f t="shared" si="2"/>
        <v>11</v>
      </c>
      <c r="L15" s="25">
        <f t="shared" si="3"/>
        <v>0</v>
      </c>
    </row>
    <row r="16" spans="1:12" ht="15" thickBot="1" x14ac:dyDescent="0.35">
      <c r="B16" s="46">
        <v>12</v>
      </c>
      <c r="C16" s="47" t="s">
        <v>102</v>
      </c>
      <c r="D16" s="47" t="s">
        <v>21</v>
      </c>
      <c r="E16" s="47">
        <v>1986</v>
      </c>
      <c r="F16" s="54">
        <v>4</v>
      </c>
      <c r="G16" s="54">
        <v>3</v>
      </c>
      <c r="H16" s="54">
        <v>5</v>
      </c>
      <c r="I16" s="52">
        <f t="shared" si="0"/>
        <v>4</v>
      </c>
      <c r="J16" s="48" t="str">
        <f>IF(I16&gt;=5,"Đạt","Rớt")</f>
        <v>Rớt</v>
      </c>
      <c r="K16" s="3">
        <f t="shared" si="2"/>
        <v>12</v>
      </c>
      <c r="L16" s="49">
        <f t="shared" si="3"/>
        <v>0</v>
      </c>
    </row>
    <row r="17" spans="2:12" x14ac:dyDescent="0.3">
      <c r="B17" s="64" t="s">
        <v>103</v>
      </c>
      <c r="C17" s="65"/>
      <c r="D17" s="65"/>
      <c r="E17" s="65"/>
      <c r="F17" s="50"/>
      <c r="G17" s="50"/>
      <c r="H17" s="50"/>
      <c r="I17" s="55">
        <f>AVERAGE(I5:I16)</f>
        <v>6.3611111111111107</v>
      </c>
      <c r="J17" s="50"/>
      <c r="K17" s="50"/>
      <c r="L17" s="51"/>
    </row>
    <row r="18" spans="2:12" x14ac:dyDescent="0.3">
      <c r="B18" s="66" t="s">
        <v>55</v>
      </c>
      <c r="C18" s="67"/>
      <c r="D18" s="67"/>
      <c r="E18" s="67"/>
      <c r="F18" s="3"/>
      <c r="G18" s="3"/>
      <c r="H18" s="3"/>
      <c r="I18" s="52">
        <f>MAX(I5:I16)</f>
        <v>9</v>
      </c>
      <c r="J18" s="3"/>
      <c r="K18" s="3"/>
      <c r="L18" s="25"/>
    </row>
    <row r="19" spans="2:12" ht="15" thickBot="1" x14ac:dyDescent="0.35">
      <c r="B19" s="68" t="s">
        <v>56</v>
      </c>
      <c r="C19" s="69"/>
      <c r="D19" s="69"/>
      <c r="E19" s="69"/>
      <c r="F19" s="4"/>
      <c r="G19" s="4"/>
      <c r="H19" s="4"/>
      <c r="I19" s="56">
        <f>MIN(5,I16)</f>
        <v>4</v>
      </c>
      <c r="J19" s="4"/>
      <c r="K19" s="4"/>
      <c r="L19" s="26"/>
    </row>
  </sheetData>
  <mergeCells count="4">
    <mergeCell ref="B17:E17"/>
    <mergeCell ref="B18:E18"/>
    <mergeCell ref="B19:E19"/>
    <mergeCell ref="B3:L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workbookViewId="0">
      <selection activeCell="I4" sqref="I4"/>
    </sheetView>
  </sheetViews>
  <sheetFormatPr defaultRowHeight="14.4" x14ac:dyDescent="0.3"/>
  <cols>
    <col min="2" max="2" width="5.44140625" customWidth="1"/>
    <col min="3" max="3" width="19" customWidth="1"/>
    <col min="4" max="4" width="10.6640625" customWidth="1"/>
    <col min="5" max="5" width="14.88671875" customWidth="1"/>
    <col min="6" max="6" width="13.6640625" customWidth="1"/>
    <col min="8" max="8" width="11" customWidth="1"/>
    <col min="9" max="9" width="14.6640625" customWidth="1"/>
    <col min="10" max="10" width="12.109375" customWidth="1"/>
    <col min="11" max="11" width="10.5546875" customWidth="1"/>
    <col min="12" max="12" width="11" customWidth="1"/>
  </cols>
  <sheetData>
    <row r="1" spans="2:12" x14ac:dyDescent="0.3">
      <c r="B1" s="1" t="s">
        <v>23</v>
      </c>
      <c r="C1" s="1"/>
    </row>
    <row r="2" spans="2:12" ht="15" thickBot="1" x14ac:dyDescent="0.35"/>
    <row r="3" spans="2:12" ht="27.6" customHeight="1" x14ac:dyDescent="0.3">
      <c r="B3" s="35" t="s">
        <v>2</v>
      </c>
      <c r="C3" s="36" t="s">
        <v>24</v>
      </c>
      <c r="D3" s="36" t="s">
        <v>25</v>
      </c>
      <c r="E3" s="36" t="s">
        <v>26</v>
      </c>
      <c r="F3" s="36" t="s">
        <v>27</v>
      </c>
      <c r="G3" s="36" t="s">
        <v>28</v>
      </c>
      <c r="H3" s="36" t="s">
        <v>109</v>
      </c>
      <c r="I3" s="36" t="s">
        <v>29</v>
      </c>
      <c r="J3" s="36" t="s">
        <v>110</v>
      </c>
      <c r="K3" s="36" t="s">
        <v>30</v>
      </c>
      <c r="L3" s="37" t="s">
        <v>107</v>
      </c>
    </row>
    <row r="4" spans="2:12" ht="16.2" x14ac:dyDescent="0.35">
      <c r="B4" s="17">
        <v>1</v>
      </c>
      <c r="C4" s="19" t="s">
        <v>31</v>
      </c>
      <c r="D4" s="18" t="s">
        <v>46</v>
      </c>
      <c r="E4" s="20">
        <v>24524</v>
      </c>
      <c r="F4" s="19">
        <v>120000</v>
      </c>
      <c r="G4" s="19">
        <v>25</v>
      </c>
      <c r="H4" s="45">
        <f ca="1">YEAR(TODAY())-YEAR(E4)</f>
        <v>58</v>
      </c>
      <c r="I4" s="5">
        <f>F4*G4</f>
        <v>3000000</v>
      </c>
      <c r="J4" s="43">
        <f>IF(TRIM(D4)="GĐ",500000,IF(TRIM(D4)="PGĐ",400000,IF(TRIM(D4)="TP",300000,IF(TRIM(D4)="PP",200000,100000))))</f>
        <v>300000</v>
      </c>
      <c r="K4" s="43">
        <f>I4*2/3</f>
        <v>2000000</v>
      </c>
      <c r="L4" s="25">
        <f>I4+J4-K4</f>
        <v>1300000</v>
      </c>
    </row>
    <row r="5" spans="2:12" ht="16.2" x14ac:dyDescent="0.35">
      <c r="B5" s="17">
        <v>2</v>
      </c>
      <c r="C5" s="19" t="s">
        <v>32</v>
      </c>
      <c r="D5" s="18" t="s">
        <v>47</v>
      </c>
      <c r="E5" s="20">
        <v>27659</v>
      </c>
      <c r="F5" s="19">
        <v>160000</v>
      </c>
      <c r="G5" s="19">
        <v>24</v>
      </c>
      <c r="H5" s="45">
        <f t="shared" ref="H5:H18" ca="1" si="0">YEAR(TODAY())-YEAR(E5)</f>
        <v>50</v>
      </c>
      <c r="I5" s="5">
        <f t="shared" ref="I5:I18" si="1">F5*G5</f>
        <v>3840000</v>
      </c>
      <c r="J5" s="43">
        <f t="shared" ref="J5:J18" si="2">IF(TRIM(D5)="GĐ",500000,IF(TRIM(D5)="PGĐ",400000,IF(TRIM(D5)="TP",300000,IF(TRIM(D5)="PP",200000,100000))))</f>
        <v>100000</v>
      </c>
      <c r="K5" s="43">
        <f t="shared" ref="K5:K18" si="3">I5*2/3</f>
        <v>2560000</v>
      </c>
      <c r="L5" s="25">
        <f t="shared" ref="L5:L18" si="4">I5+J5-K5</f>
        <v>1380000</v>
      </c>
    </row>
    <row r="6" spans="2:12" ht="16.2" x14ac:dyDescent="0.35">
      <c r="B6" s="17">
        <v>3</v>
      </c>
      <c r="C6" s="19" t="s">
        <v>33</v>
      </c>
      <c r="D6" s="18" t="s">
        <v>48</v>
      </c>
      <c r="E6" s="20">
        <v>24972</v>
      </c>
      <c r="F6" s="19">
        <v>150000</v>
      </c>
      <c r="G6" s="19">
        <v>26</v>
      </c>
      <c r="H6" s="45">
        <f t="shared" ca="1" si="0"/>
        <v>57</v>
      </c>
      <c r="I6" s="5">
        <f t="shared" si="1"/>
        <v>3900000</v>
      </c>
      <c r="J6" s="43">
        <f t="shared" si="2"/>
        <v>200000</v>
      </c>
      <c r="K6" s="43">
        <f t="shared" si="3"/>
        <v>2600000</v>
      </c>
      <c r="L6" s="25">
        <f t="shared" si="4"/>
        <v>1500000</v>
      </c>
    </row>
    <row r="7" spans="2:12" ht="16.2" x14ac:dyDescent="0.35">
      <c r="B7" s="17">
        <v>4</v>
      </c>
      <c r="C7" s="19" t="s">
        <v>34</v>
      </c>
      <c r="D7" s="18" t="s">
        <v>47</v>
      </c>
      <c r="E7" s="20">
        <v>21231</v>
      </c>
      <c r="F7" s="19">
        <v>130000</v>
      </c>
      <c r="G7" s="19">
        <v>20</v>
      </c>
      <c r="H7" s="45">
        <f t="shared" ca="1" si="0"/>
        <v>67</v>
      </c>
      <c r="I7" s="5">
        <f t="shared" si="1"/>
        <v>2600000</v>
      </c>
      <c r="J7" s="43">
        <f t="shared" si="2"/>
        <v>100000</v>
      </c>
      <c r="K7" s="43">
        <f t="shared" si="3"/>
        <v>1733333.3333333333</v>
      </c>
      <c r="L7" s="25">
        <f t="shared" si="4"/>
        <v>966666.66666666674</v>
      </c>
    </row>
    <row r="8" spans="2:12" ht="16.2" x14ac:dyDescent="0.35">
      <c r="B8" s="17">
        <v>5</v>
      </c>
      <c r="C8" s="19" t="s">
        <v>35</v>
      </c>
      <c r="D8" s="18" t="s">
        <v>49</v>
      </c>
      <c r="E8" s="20">
        <v>28728</v>
      </c>
      <c r="F8" s="19">
        <v>180000</v>
      </c>
      <c r="G8" s="19">
        <v>23</v>
      </c>
      <c r="H8" s="45">
        <f t="shared" ca="1" si="0"/>
        <v>47</v>
      </c>
      <c r="I8" s="5">
        <f t="shared" si="1"/>
        <v>4140000</v>
      </c>
      <c r="J8" s="43">
        <f t="shared" si="2"/>
        <v>100000</v>
      </c>
      <c r="K8" s="43">
        <f t="shared" si="3"/>
        <v>2760000</v>
      </c>
      <c r="L8" s="25">
        <f t="shared" si="4"/>
        <v>1480000</v>
      </c>
    </row>
    <row r="9" spans="2:12" ht="16.2" x14ac:dyDescent="0.35">
      <c r="B9" s="17">
        <v>6</v>
      </c>
      <c r="C9" s="19" t="s">
        <v>36</v>
      </c>
      <c r="D9" s="18" t="s">
        <v>50</v>
      </c>
      <c r="E9" s="20">
        <v>25432</v>
      </c>
      <c r="F9" s="19">
        <v>150000</v>
      </c>
      <c r="G9" s="19">
        <v>24</v>
      </c>
      <c r="H9" s="45">
        <f t="shared" ca="1" si="0"/>
        <v>56</v>
      </c>
      <c r="I9" s="5">
        <f t="shared" si="1"/>
        <v>3600000</v>
      </c>
      <c r="J9" s="43">
        <f t="shared" si="2"/>
        <v>100000</v>
      </c>
      <c r="K9" s="43">
        <f t="shared" si="3"/>
        <v>2400000</v>
      </c>
      <c r="L9" s="25">
        <f t="shared" si="4"/>
        <v>1300000</v>
      </c>
    </row>
    <row r="10" spans="2:12" ht="16.2" x14ac:dyDescent="0.35">
      <c r="B10" s="17">
        <v>7</v>
      </c>
      <c r="C10" s="19" t="s">
        <v>37</v>
      </c>
      <c r="D10" s="18" t="s">
        <v>48</v>
      </c>
      <c r="E10" s="20">
        <v>25430</v>
      </c>
      <c r="F10" s="19">
        <v>140000</v>
      </c>
      <c r="G10" s="19">
        <v>27</v>
      </c>
      <c r="H10" s="45">
        <f t="shared" ca="1" si="0"/>
        <v>56</v>
      </c>
      <c r="I10" s="5">
        <f t="shared" si="1"/>
        <v>3780000</v>
      </c>
      <c r="J10" s="43">
        <f t="shared" si="2"/>
        <v>200000</v>
      </c>
      <c r="K10" s="43">
        <f t="shared" si="3"/>
        <v>2520000</v>
      </c>
      <c r="L10" s="25">
        <f t="shared" si="4"/>
        <v>1460000</v>
      </c>
    </row>
    <row r="11" spans="2:12" ht="16.2" x14ac:dyDescent="0.35">
      <c r="B11" s="17">
        <v>8</v>
      </c>
      <c r="C11" s="19" t="s">
        <v>38</v>
      </c>
      <c r="D11" s="18" t="s">
        <v>51</v>
      </c>
      <c r="E11" s="20">
        <v>20796</v>
      </c>
      <c r="F11" s="19">
        <v>160000</v>
      </c>
      <c r="G11" s="19">
        <v>14</v>
      </c>
      <c r="H11" s="45">
        <f t="shared" ca="1" si="0"/>
        <v>69</v>
      </c>
      <c r="I11" s="5">
        <f t="shared" si="1"/>
        <v>2240000</v>
      </c>
      <c r="J11" s="43">
        <f t="shared" si="2"/>
        <v>500000</v>
      </c>
      <c r="K11" s="43">
        <f t="shared" si="3"/>
        <v>1493333.3333333333</v>
      </c>
      <c r="L11" s="25">
        <f t="shared" si="4"/>
        <v>1246666.6666666667</v>
      </c>
    </row>
    <row r="12" spans="2:12" ht="16.2" x14ac:dyDescent="0.35">
      <c r="B12" s="17">
        <v>9</v>
      </c>
      <c r="C12" s="19" t="s">
        <v>39</v>
      </c>
      <c r="D12" s="18" t="s">
        <v>50</v>
      </c>
      <c r="E12" s="20">
        <v>22194</v>
      </c>
      <c r="F12" s="19">
        <v>150000</v>
      </c>
      <c r="G12" s="19">
        <v>17</v>
      </c>
      <c r="H12" s="45">
        <f t="shared" ca="1" si="0"/>
        <v>65</v>
      </c>
      <c r="I12" s="5">
        <f t="shared" si="1"/>
        <v>2550000</v>
      </c>
      <c r="J12" s="43">
        <f t="shared" si="2"/>
        <v>100000</v>
      </c>
      <c r="K12" s="43">
        <f t="shared" si="3"/>
        <v>1700000</v>
      </c>
      <c r="L12" s="25">
        <f t="shared" si="4"/>
        <v>950000</v>
      </c>
    </row>
    <row r="13" spans="2:12" ht="16.2" x14ac:dyDescent="0.35">
      <c r="B13" s="17">
        <v>10</v>
      </c>
      <c r="C13" s="19" t="s">
        <v>40</v>
      </c>
      <c r="D13" s="18" t="s">
        <v>47</v>
      </c>
      <c r="E13" s="20">
        <v>19859</v>
      </c>
      <c r="F13" s="19">
        <v>130000</v>
      </c>
      <c r="G13" s="19">
        <v>23</v>
      </c>
      <c r="H13" s="45">
        <f t="shared" ca="1" si="0"/>
        <v>71</v>
      </c>
      <c r="I13" s="5">
        <f t="shared" si="1"/>
        <v>2990000</v>
      </c>
      <c r="J13" s="43">
        <f t="shared" si="2"/>
        <v>100000</v>
      </c>
      <c r="K13" s="43">
        <f t="shared" si="3"/>
        <v>1993333.3333333333</v>
      </c>
      <c r="L13" s="25">
        <f t="shared" si="4"/>
        <v>1096666.6666666667</v>
      </c>
    </row>
    <row r="14" spans="2:12" ht="16.2" x14ac:dyDescent="0.35">
      <c r="B14" s="17">
        <v>11</v>
      </c>
      <c r="C14" s="19" t="s">
        <v>41</v>
      </c>
      <c r="D14" s="18" t="s">
        <v>46</v>
      </c>
      <c r="E14" s="20">
        <v>24731</v>
      </c>
      <c r="F14" s="19">
        <v>180000</v>
      </c>
      <c r="G14" s="19">
        <v>22</v>
      </c>
      <c r="H14" s="45">
        <f t="shared" ca="1" si="0"/>
        <v>58</v>
      </c>
      <c r="I14" s="5">
        <f t="shared" si="1"/>
        <v>3960000</v>
      </c>
      <c r="J14" s="43">
        <f t="shared" si="2"/>
        <v>300000</v>
      </c>
      <c r="K14" s="43">
        <f t="shared" si="3"/>
        <v>2640000</v>
      </c>
      <c r="L14" s="25">
        <f t="shared" si="4"/>
        <v>1620000</v>
      </c>
    </row>
    <row r="15" spans="2:12" ht="16.2" x14ac:dyDescent="0.35">
      <c r="B15" s="17">
        <v>12</v>
      </c>
      <c r="C15" s="19" t="s">
        <v>42</v>
      </c>
      <c r="D15" s="18" t="s">
        <v>47</v>
      </c>
      <c r="E15" s="20">
        <v>25465</v>
      </c>
      <c r="F15" s="19">
        <v>150000</v>
      </c>
      <c r="G15" s="19">
        <v>14</v>
      </c>
      <c r="H15" s="45">
        <f t="shared" ca="1" si="0"/>
        <v>56</v>
      </c>
      <c r="I15" s="5">
        <f t="shared" si="1"/>
        <v>2100000</v>
      </c>
      <c r="J15" s="43">
        <f t="shared" si="2"/>
        <v>100000</v>
      </c>
      <c r="K15" s="43">
        <f t="shared" si="3"/>
        <v>1400000</v>
      </c>
      <c r="L15" s="25">
        <f t="shared" si="4"/>
        <v>800000</v>
      </c>
    </row>
    <row r="16" spans="2:12" ht="16.2" x14ac:dyDescent="0.35">
      <c r="B16" s="17">
        <v>13</v>
      </c>
      <c r="C16" s="19" t="s">
        <v>43</v>
      </c>
      <c r="D16" s="18" t="s">
        <v>52</v>
      </c>
      <c r="E16" s="20">
        <v>21438</v>
      </c>
      <c r="F16" s="19">
        <v>180000</v>
      </c>
      <c r="G16" s="19">
        <v>23</v>
      </c>
      <c r="H16" s="45">
        <f t="shared" ca="1" si="0"/>
        <v>67</v>
      </c>
      <c r="I16" s="5">
        <f t="shared" si="1"/>
        <v>4140000</v>
      </c>
      <c r="J16" s="43">
        <f t="shared" si="2"/>
        <v>400000</v>
      </c>
      <c r="K16" s="43">
        <f t="shared" si="3"/>
        <v>2760000</v>
      </c>
      <c r="L16" s="25">
        <f t="shared" si="4"/>
        <v>1780000</v>
      </c>
    </row>
    <row r="17" spans="2:12" ht="16.2" x14ac:dyDescent="0.35">
      <c r="B17" s="17">
        <v>14</v>
      </c>
      <c r="C17" s="19" t="s">
        <v>44</v>
      </c>
      <c r="D17" s="18" t="s">
        <v>46</v>
      </c>
      <c r="E17" s="20">
        <v>19983</v>
      </c>
      <c r="F17" s="19">
        <v>160000</v>
      </c>
      <c r="G17" s="19">
        <v>27</v>
      </c>
      <c r="H17" s="45">
        <f t="shared" ca="1" si="0"/>
        <v>71</v>
      </c>
      <c r="I17" s="5">
        <f t="shared" si="1"/>
        <v>4320000</v>
      </c>
      <c r="J17" s="43">
        <f t="shared" si="2"/>
        <v>300000</v>
      </c>
      <c r="K17" s="43">
        <f t="shared" si="3"/>
        <v>2880000</v>
      </c>
      <c r="L17" s="25">
        <f t="shared" si="4"/>
        <v>1740000</v>
      </c>
    </row>
    <row r="18" spans="2:12" ht="16.2" x14ac:dyDescent="0.35">
      <c r="B18" s="17">
        <v>15</v>
      </c>
      <c r="C18" s="19" t="s">
        <v>45</v>
      </c>
      <c r="D18" s="18" t="s">
        <v>50</v>
      </c>
      <c r="E18" s="20">
        <v>25074</v>
      </c>
      <c r="F18" s="19">
        <v>130000</v>
      </c>
      <c r="G18" s="19">
        <v>26</v>
      </c>
      <c r="H18" s="45">
        <f t="shared" ca="1" si="0"/>
        <v>57</v>
      </c>
      <c r="I18" s="5">
        <f t="shared" si="1"/>
        <v>3380000</v>
      </c>
      <c r="J18" s="43">
        <f t="shared" si="2"/>
        <v>100000</v>
      </c>
      <c r="K18" s="43">
        <f t="shared" si="3"/>
        <v>2253333.3333333335</v>
      </c>
      <c r="L18" s="25">
        <f t="shared" si="4"/>
        <v>1226666.6666666665</v>
      </c>
    </row>
    <row r="19" spans="2:12" x14ac:dyDescent="0.3">
      <c r="B19" s="73" t="s">
        <v>53</v>
      </c>
      <c r="C19" s="74"/>
      <c r="D19" s="74"/>
      <c r="E19" s="74"/>
      <c r="F19" s="74"/>
      <c r="G19" s="74"/>
      <c r="H19" s="5"/>
      <c r="I19" s="5"/>
      <c r="J19" s="43"/>
      <c r="K19" s="43"/>
      <c r="L19" s="25">
        <f>SUM(L4:L18)</f>
        <v>19846666.666666668</v>
      </c>
    </row>
    <row r="20" spans="2:12" x14ac:dyDescent="0.3">
      <c r="B20" s="73" t="s">
        <v>54</v>
      </c>
      <c r="C20" s="74"/>
      <c r="D20" s="74"/>
      <c r="E20" s="74"/>
      <c r="F20" s="74"/>
      <c r="G20" s="74"/>
      <c r="H20" s="5"/>
      <c r="I20" s="5"/>
      <c r="J20" s="43"/>
      <c r="K20" s="43"/>
      <c r="L20" s="25">
        <f>AVERAGE(L4:L18)</f>
        <v>1323111.1111111112</v>
      </c>
    </row>
    <row r="21" spans="2:12" x14ac:dyDescent="0.3">
      <c r="B21" s="73" t="s">
        <v>55</v>
      </c>
      <c r="C21" s="74"/>
      <c r="D21" s="74"/>
      <c r="E21" s="74"/>
      <c r="F21" s="74"/>
      <c r="G21" s="74"/>
      <c r="H21" s="5"/>
      <c r="I21" s="5"/>
      <c r="J21" s="43"/>
      <c r="K21" s="43"/>
      <c r="L21" s="25">
        <f>MAX(L4:L18)</f>
        <v>1780000</v>
      </c>
    </row>
    <row r="22" spans="2:12" ht="15" thickBot="1" x14ac:dyDescent="0.35">
      <c r="B22" s="75" t="s">
        <v>56</v>
      </c>
      <c r="C22" s="76"/>
      <c r="D22" s="76"/>
      <c r="E22" s="76"/>
      <c r="F22" s="76"/>
      <c r="G22" s="76"/>
      <c r="H22" s="7"/>
      <c r="I22" s="7"/>
      <c r="J22" s="44"/>
      <c r="K22" s="44"/>
      <c r="L22" s="26">
        <f>MIN(L4:L18)</f>
        <v>800000</v>
      </c>
    </row>
  </sheetData>
  <mergeCells count="4">
    <mergeCell ref="B19:G19"/>
    <mergeCell ref="B20:G20"/>
    <mergeCell ref="B21:G21"/>
    <mergeCell ref="B22:G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N9" sqref="N9"/>
    </sheetView>
  </sheetViews>
  <sheetFormatPr defaultRowHeight="14.4" x14ac:dyDescent="0.3"/>
  <cols>
    <col min="2" max="2" width="5.33203125" customWidth="1"/>
    <col min="3" max="3" width="11.33203125" customWidth="1"/>
    <col min="4" max="4" width="19.88671875" customWidth="1"/>
    <col min="5" max="5" width="11.21875" customWidth="1"/>
    <col min="6" max="6" width="10.44140625" customWidth="1"/>
    <col min="7" max="7" width="10.88671875" customWidth="1"/>
    <col min="8" max="8" width="11.109375" customWidth="1"/>
    <col min="9" max="10" width="12.6640625" customWidth="1"/>
    <col min="11" max="11" width="10" customWidth="1"/>
  </cols>
  <sheetData>
    <row r="1" spans="1:11" x14ac:dyDescent="0.3">
      <c r="B1" s="1" t="s">
        <v>57</v>
      </c>
      <c r="C1" s="1"/>
    </row>
    <row r="2" spans="1:11" ht="15" thickBot="1" x14ac:dyDescent="0.35"/>
    <row r="3" spans="1:11" ht="36.6" customHeight="1" x14ac:dyDescent="0.3">
      <c r="B3" s="38" t="s">
        <v>2</v>
      </c>
      <c r="C3" s="39" t="s">
        <v>58</v>
      </c>
      <c r="D3" s="39" t="s">
        <v>59</v>
      </c>
      <c r="E3" s="39" t="s">
        <v>60</v>
      </c>
      <c r="F3" s="39" t="s">
        <v>61</v>
      </c>
      <c r="G3" s="39" t="s">
        <v>111</v>
      </c>
      <c r="H3" s="39" t="s">
        <v>62</v>
      </c>
      <c r="I3" s="39" t="s">
        <v>63</v>
      </c>
      <c r="J3" s="39" t="s">
        <v>64</v>
      </c>
      <c r="K3" s="40" t="s">
        <v>65</v>
      </c>
    </row>
    <row r="4" spans="1:11" ht="16.2" x14ac:dyDescent="0.35">
      <c r="A4" s="2"/>
      <c r="B4" s="17">
        <v>1</v>
      </c>
      <c r="C4" s="19" t="s">
        <v>66</v>
      </c>
      <c r="D4" s="19" t="str">
        <f t="shared" ref="D4:D11" si="0">VLOOKUP(LEFT(C4,2),$C$16:$F$19,2,0)</f>
        <v>Máy lạnh Panasonic</v>
      </c>
      <c r="E4" s="59">
        <f>VLOOKUP(LEFT(C4,2),C15:I19,5,0)</f>
        <v>300</v>
      </c>
      <c r="F4" s="58">
        <f>VLOOKUP(LEFT(C4,2),C15:I16,6)</f>
        <v>130</v>
      </c>
      <c r="G4" s="62">
        <f>E4*F4</f>
        <v>39000</v>
      </c>
      <c r="H4" s="5">
        <f>IF(MID(C4,4,1)="A",E4+15,IF(MID(F4,4,1)="B",E4+12,E4+10))</f>
        <v>315</v>
      </c>
      <c r="I4" s="5">
        <f>VLOOKUP(LEFT(C4,2),C15:I19,7,0)</f>
        <v>100</v>
      </c>
      <c r="J4" s="5">
        <f>H4*I4</f>
        <v>31500</v>
      </c>
      <c r="K4" s="6" t="str">
        <f>IF(F4-I4&gt;=60,"Bán chậm",IF(F4-I4&gt;=30,"Bán được","Bán chạy"))</f>
        <v>Bán được</v>
      </c>
    </row>
    <row r="5" spans="1:11" ht="16.2" x14ac:dyDescent="0.35">
      <c r="B5" s="17">
        <v>2</v>
      </c>
      <c r="C5" s="19" t="s">
        <v>67</v>
      </c>
      <c r="D5" s="19" t="str">
        <f t="shared" si="0"/>
        <v>Máy lạnh Panasonic</v>
      </c>
      <c r="E5" s="59">
        <f t="shared" ref="E5" si="1">VLOOKUP(LEFT(C5,2),C16:I20,5,0)</f>
        <v>300</v>
      </c>
      <c r="F5" s="58">
        <f t="shared" ref="F5:F8" si="2">VLOOKUP(LEFT(C5,2),C16:I17,6)</f>
        <v>130</v>
      </c>
      <c r="G5" s="62">
        <f t="shared" ref="G5:G11" si="3">E5*F5</f>
        <v>39000</v>
      </c>
      <c r="H5" s="5">
        <f t="shared" ref="H5:H11" si="4">IF(MID(C5,4,1)="A",E5+15,IF(MID(F5,4,1)="B",E5+12,E5+10))</f>
        <v>310</v>
      </c>
      <c r="I5" s="5">
        <f t="shared" ref="I5" si="5">VLOOKUP(LEFT(C5,2),C16:I20,7,0)</f>
        <v>100</v>
      </c>
      <c r="J5" s="5">
        <f t="shared" ref="J5:J11" si="6">H5*I5</f>
        <v>31000</v>
      </c>
      <c r="K5" s="6" t="str">
        <f t="shared" ref="K5:K11" si="7">IF(F5-I5&gt;=60,"Bán chậm",IF(F5-I5&gt;=30,"Bán được","Bán chạy"))</f>
        <v>Bán được</v>
      </c>
    </row>
    <row r="6" spans="1:11" ht="16.2" x14ac:dyDescent="0.35">
      <c r="B6" s="17">
        <v>3</v>
      </c>
      <c r="C6" s="19" t="s">
        <v>68</v>
      </c>
      <c r="D6" s="19" t="str">
        <f t="shared" si="0"/>
        <v>Máy lạnh Sanyo</v>
      </c>
      <c r="E6" s="59">
        <f>VLOOKUP(LEFT(C6,2),C17:I21,5,0)</f>
        <v>210</v>
      </c>
      <c r="F6" s="58">
        <f>VLOOKUP(LEFT(C6,2),C18:I18,6)</f>
        <v>126</v>
      </c>
      <c r="G6" s="62">
        <f t="shared" si="3"/>
        <v>26460</v>
      </c>
      <c r="H6" s="5">
        <f t="shared" si="4"/>
        <v>220</v>
      </c>
      <c r="I6" s="5">
        <f>VLOOKUP(LEFT(C6,2),C17:I21,7,0)</f>
        <v>85</v>
      </c>
      <c r="J6" s="5">
        <f t="shared" si="6"/>
        <v>18700</v>
      </c>
      <c r="K6" s="6" t="str">
        <f t="shared" si="7"/>
        <v>Bán được</v>
      </c>
    </row>
    <row r="7" spans="1:11" ht="16.2" x14ac:dyDescent="0.35">
      <c r="B7" s="17">
        <v>4</v>
      </c>
      <c r="C7" s="24" t="s">
        <v>69</v>
      </c>
      <c r="D7" s="19" t="str">
        <f t="shared" si="0"/>
        <v>Máy lạnh Toshiba</v>
      </c>
      <c r="E7" s="59">
        <f>VLOOKUP(LEFT(C7,2),C17:I22,5,0)</f>
        <v>250</v>
      </c>
      <c r="F7" s="58">
        <f>VLOOKUP(LEFT(C7,2),C17:I17,6)</f>
        <v>90</v>
      </c>
      <c r="G7" s="62">
        <f t="shared" si="3"/>
        <v>22500</v>
      </c>
      <c r="H7" s="5">
        <f t="shared" si="4"/>
        <v>260</v>
      </c>
      <c r="I7" s="5">
        <f>VLOOKUP(LEFT(C7,2),C17:I17,7,0)</f>
        <v>60</v>
      </c>
      <c r="J7" s="5">
        <f t="shared" si="6"/>
        <v>15600</v>
      </c>
      <c r="K7" s="6" t="str">
        <f t="shared" si="7"/>
        <v>Bán được</v>
      </c>
    </row>
    <row r="8" spans="1:11" ht="16.2" x14ac:dyDescent="0.35">
      <c r="B8" s="17">
        <v>5</v>
      </c>
      <c r="C8" s="19" t="s">
        <v>71</v>
      </c>
      <c r="D8" s="19" t="str">
        <f t="shared" si="0"/>
        <v>Máy lạnh Hitachi</v>
      </c>
      <c r="E8" s="59">
        <f>VLOOKUP(LEFT(C8,2),C19:I23,5,0)</f>
        <v>220</v>
      </c>
      <c r="F8" s="58">
        <f t="shared" si="2"/>
        <v>70</v>
      </c>
      <c r="G8" s="62">
        <f t="shared" si="3"/>
        <v>15400</v>
      </c>
      <c r="H8" s="5">
        <f t="shared" si="4"/>
        <v>230</v>
      </c>
      <c r="I8" s="5">
        <f>VLOOKUP(LEFT(C8,2),C19:I23,7,0)</f>
        <v>30</v>
      </c>
      <c r="J8" s="5">
        <f t="shared" si="6"/>
        <v>6900</v>
      </c>
      <c r="K8" s="6" t="str">
        <f t="shared" si="7"/>
        <v>Bán được</v>
      </c>
    </row>
    <row r="9" spans="1:11" ht="16.2" x14ac:dyDescent="0.35">
      <c r="B9" s="17">
        <v>6</v>
      </c>
      <c r="C9" s="19" t="s">
        <v>72</v>
      </c>
      <c r="D9" s="19" t="str">
        <f t="shared" si="0"/>
        <v>Máy lạnh Hitachi</v>
      </c>
      <c r="E9" s="59">
        <f>VLOOKUP(LEFT(C9,2),C19:I24,5,0)</f>
        <v>220</v>
      </c>
      <c r="F9" s="58">
        <f>VLOOKUP(LEFT(C9,2),C19:I21,6)</f>
        <v>70</v>
      </c>
      <c r="G9" s="62">
        <f t="shared" si="3"/>
        <v>15400</v>
      </c>
      <c r="H9" s="5">
        <f t="shared" si="4"/>
        <v>235</v>
      </c>
      <c r="I9" s="5">
        <f>VLOOKUP(LEFT(C9,2),C19:I24,7,0)</f>
        <v>30</v>
      </c>
      <c r="J9" s="5">
        <f t="shared" si="6"/>
        <v>7050</v>
      </c>
      <c r="K9" s="6" t="str">
        <f t="shared" si="7"/>
        <v>Bán được</v>
      </c>
    </row>
    <row r="10" spans="1:11" ht="16.2" x14ac:dyDescent="0.35">
      <c r="B10" s="17">
        <v>7</v>
      </c>
      <c r="C10" s="19" t="s">
        <v>73</v>
      </c>
      <c r="D10" s="19" t="str">
        <f t="shared" si="0"/>
        <v>Máy lạnh Toshiba</v>
      </c>
      <c r="E10" s="59">
        <f>VLOOKUP(LEFT(C10,2),C17:I25,5,0)</f>
        <v>250</v>
      </c>
      <c r="F10" s="58">
        <f>VLOOKUP(LEFT(C10,2),C17:I17,6)</f>
        <v>90</v>
      </c>
      <c r="G10" s="62">
        <f t="shared" si="3"/>
        <v>22500</v>
      </c>
      <c r="H10" s="5">
        <f t="shared" si="4"/>
        <v>260</v>
      </c>
      <c r="I10" s="5">
        <f>VLOOKUP(LEFT(C10,2),C17:I25,7,0)</f>
        <v>60</v>
      </c>
      <c r="J10" s="5">
        <f t="shared" si="6"/>
        <v>15600</v>
      </c>
      <c r="K10" s="6" t="str">
        <f t="shared" si="7"/>
        <v>Bán được</v>
      </c>
    </row>
    <row r="11" spans="1:11" ht="16.2" x14ac:dyDescent="0.35">
      <c r="B11" s="17">
        <v>8</v>
      </c>
      <c r="C11" s="19" t="s">
        <v>68</v>
      </c>
      <c r="D11" s="19" t="str">
        <f t="shared" si="0"/>
        <v>Máy lạnh Sanyo</v>
      </c>
      <c r="E11" s="59">
        <f>VLOOKUP(LEFT(C11,2),C18:I26,5,0)</f>
        <v>210</v>
      </c>
      <c r="F11" s="58">
        <f>VLOOKUP(LEFT(C11,2),C18:H18,6)</f>
        <v>126</v>
      </c>
      <c r="G11" s="62">
        <f t="shared" si="3"/>
        <v>26460</v>
      </c>
      <c r="H11" s="5">
        <f t="shared" si="4"/>
        <v>220</v>
      </c>
      <c r="I11" s="5">
        <f>VLOOKUP(LEFT(C11,2),C18:I26,7,0)</f>
        <v>85</v>
      </c>
      <c r="J11" s="5">
        <f t="shared" si="6"/>
        <v>18700</v>
      </c>
      <c r="K11" s="6" t="str">
        <f t="shared" si="7"/>
        <v>Bán được</v>
      </c>
    </row>
    <row r="12" spans="1:11" ht="16.2" thickBot="1" x14ac:dyDescent="0.35">
      <c r="B12" s="78" t="s">
        <v>74</v>
      </c>
      <c r="C12" s="79"/>
      <c r="D12" s="80"/>
      <c r="E12" s="63">
        <f>SUM(E4:E11)</f>
        <v>1960</v>
      </c>
      <c r="F12" s="63">
        <f t="shared" ref="F12:J12" si="8">SUM(F4:F11)</f>
        <v>832</v>
      </c>
      <c r="G12" s="63">
        <f t="shared" si="8"/>
        <v>206720</v>
      </c>
      <c r="H12" s="63">
        <f t="shared" si="8"/>
        <v>2050</v>
      </c>
      <c r="I12" s="63">
        <f t="shared" si="8"/>
        <v>550</v>
      </c>
      <c r="J12" s="63">
        <f t="shared" si="8"/>
        <v>145050</v>
      </c>
      <c r="K12" s="8"/>
    </row>
    <row r="13" spans="1:11" x14ac:dyDescent="0.3">
      <c r="B13" s="9"/>
      <c r="C13" s="81" t="s">
        <v>75</v>
      </c>
      <c r="D13" s="82"/>
      <c r="E13" s="82"/>
      <c r="F13" s="82"/>
      <c r="G13" s="82"/>
      <c r="H13" s="82"/>
      <c r="I13" s="82"/>
      <c r="J13" s="9"/>
      <c r="K13" s="9"/>
    </row>
    <row r="14" spans="1:11" ht="15" x14ac:dyDescent="0.3">
      <c r="B14" s="9"/>
      <c r="C14" s="82"/>
      <c r="D14" s="82"/>
      <c r="E14" s="82"/>
      <c r="F14" s="82"/>
      <c r="G14" s="82"/>
      <c r="H14" s="82"/>
      <c r="I14" s="82"/>
      <c r="J14" s="9"/>
      <c r="K14" s="9"/>
    </row>
    <row r="15" spans="1:11" ht="23.4" customHeight="1" x14ac:dyDescent="0.3">
      <c r="B15" s="9"/>
      <c r="C15" s="38" t="s">
        <v>58</v>
      </c>
      <c r="D15" s="83" t="s">
        <v>59</v>
      </c>
      <c r="E15" s="83"/>
      <c r="F15" s="83"/>
      <c r="G15" s="57" t="s">
        <v>60</v>
      </c>
      <c r="H15" s="57" t="s">
        <v>61</v>
      </c>
      <c r="I15" s="40" t="s">
        <v>63</v>
      </c>
      <c r="J15" s="9"/>
    </row>
    <row r="16" spans="1:11" ht="16.2" x14ac:dyDescent="0.35">
      <c r="B16" s="9"/>
      <c r="C16" s="21" t="s">
        <v>76</v>
      </c>
      <c r="D16" s="84" t="s">
        <v>79</v>
      </c>
      <c r="E16" s="84"/>
      <c r="F16" s="84"/>
      <c r="G16" s="60">
        <v>300</v>
      </c>
      <c r="H16" s="19">
        <v>130</v>
      </c>
      <c r="I16" s="88">
        <v>100</v>
      </c>
      <c r="J16" s="9"/>
    </row>
    <row r="17" spans="2:11" ht="16.2" x14ac:dyDescent="0.35">
      <c r="B17" s="9"/>
      <c r="C17" s="21" t="s">
        <v>77</v>
      </c>
      <c r="D17" s="84" t="s">
        <v>80</v>
      </c>
      <c r="E17" s="84"/>
      <c r="F17" s="84"/>
      <c r="G17" s="60">
        <v>250</v>
      </c>
      <c r="H17" s="19">
        <v>90</v>
      </c>
      <c r="I17" s="88">
        <v>60</v>
      </c>
      <c r="J17" s="9"/>
    </row>
    <row r="18" spans="2:11" ht="16.2" x14ac:dyDescent="0.35">
      <c r="B18" s="9"/>
      <c r="C18" s="21" t="s">
        <v>78</v>
      </c>
      <c r="D18" s="84" t="s">
        <v>81</v>
      </c>
      <c r="E18" s="84"/>
      <c r="F18" s="84"/>
      <c r="G18" s="60">
        <v>210</v>
      </c>
      <c r="H18" s="19">
        <v>126</v>
      </c>
      <c r="I18" s="88">
        <v>85</v>
      </c>
      <c r="J18" s="9"/>
    </row>
    <row r="19" spans="2:11" ht="16.8" thickBot="1" x14ac:dyDescent="0.4">
      <c r="B19" s="9"/>
      <c r="C19" s="22" t="s">
        <v>70</v>
      </c>
      <c r="D19" s="77" t="s">
        <v>82</v>
      </c>
      <c r="E19" s="77"/>
      <c r="F19" s="77"/>
      <c r="G19" s="61">
        <v>220</v>
      </c>
      <c r="H19" s="23">
        <v>70</v>
      </c>
      <c r="I19" s="89">
        <v>30</v>
      </c>
      <c r="J19" s="9"/>
    </row>
    <row r="20" spans="2:11" ht="34.200000000000003" customHeight="1" thickBot="1" x14ac:dyDescent="0.35"/>
    <row r="21" spans="2:11" ht="29.4" customHeight="1" thickBot="1" x14ac:dyDescent="0.35">
      <c r="B21" s="90" t="s">
        <v>112</v>
      </c>
      <c r="C21" s="91"/>
      <c r="D21" s="91"/>
      <c r="E21" s="91"/>
      <c r="F21" s="91"/>
      <c r="G21" s="91"/>
      <c r="H21" s="91"/>
      <c r="I21" s="91"/>
      <c r="J21" s="91"/>
      <c r="K21" s="92"/>
    </row>
    <row r="22" spans="2:11" ht="31.8" customHeight="1" x14ac:dyDescent="0.3">
      <c r="B22" s="38" t="s">
        <v>2</v>
      </c>
      <c r="C22" s="57" t="s">
        <v>58</v>
      </c>
      <c r="D22" s="57" t="s">
        <v>59</v>
      </c>
      <c r="E22" s="57" t="s">
        <v>60</v>
      </c>
      <c r="F22" s="57" t="s">
        <v>61</v>
      </c>
      <c r="G22" s="57" t="s">
        <v>111</v>
      </c>
      <c r="H22" s="57" t="s">
        <v>62</v>
      </c>
      <c r="I22" s="57" t="s">
        <v>63</v>
      </c>
      <c r="J22" s="57" t="s">
        <v>64</v>
      </c>
      <c r="K22" s="40" t="s">
        <v>65</v>
      </c>
    </row>
    <row r="23" spans="2:11" ht="16.2" x14ac:dyDescent="0.35">
      <c r="B23" s="17">
        <v>1</v>
      </c>
      <c r="C23" s="19" t="s">
        <v>66</v>
      </c>
      <c r="D23" s="19" t="s">
        <v>79</v>
      </c>
      <c r="E23" s="59">
        <v>300</v>
      </c>
      <c r="F23" s="93">
        <v>130</v>
      </c>
      <c r="G23" s="94">
        <v>39000</v>
      </c>
      <c r="H23" s="95">
        <v>315</v>
      </c>
      <c r="I23" s="95">
        <v>100</v>
      </c>
      <c r="J23" s="95">
        <v>31500</v>
      </c>
      <c r="K23" s="96" t="s">
        <v>113</v>
      </c>
    </row>
    <row r="24" spans="2:11" ht="16.2" x14ac:dyDescent="0.35">
      <c r="B24" s="17">
        <v>2</v>
      </c>
      <c r="C24" s="19" t="s">
        <v>67</v>
      </c>
      <c r="D24" s="19" t="s">
        <v>79</v>
      </c>
      <c r="E24" s="59">
        <v>300</v>
      </c>
      <c r="F24" s="93">
        <v>130</v>
      </c>
      <c r="G24" s="94">
        <v>39000</v>
      </c>
      <c r="H24" s="95">
        <v>310</v>
      </c>
      <c r="I24" s="95">
        <v>100</v>
      </c>
      <c r="J24" s="95">
        <v>31000</v>
      </c>
      <c r="K24" s="96" t="s">
        <v>113</v>
      </c>
    </row>
    <row r="25" spans="2:11" ht="16.2" thickBot="1" x14ac:dyDescent="0.35">
      <c r="B25" s="78" t="s">
        <v>74</v>
      </c>
      <c r="C25" s="79"/>
      <c r="D25" s="80"/>
      <c r="E25" s="98">
        <v>1960</v>
      </c>
      <c r="F25" s="98">
        <v>832</v>
      </c>
      <c r="G25" s="98">
        <v>206720</v>
      </c>
      <c r="H25" s="98">
        <v>2050</v>
      </c>
      <c r="I25" s="99">
        <v>550</v>
      </c>
      <c r="J25" s="98">
        <v>145050</v>
      </c>
      <c r="K25" s="97"/>
    </row>
  </sheetData>
  <autoFilter ref="B3:K12"/>
  <mergeCells count="9">
    <mergeCell ref="B21:K21"/>
    <mergeCell ref="B25:D25"/>
    <mergeCell ref="D19:F19"/>
    <mergeCell ref="B12:D12"/>
    <mergeCell ref="C13:I14"/>
    <mergeCell ref="D15:F15"/>
    <mergeCell ref="D16:F16"/>
    <mergeCell ref="D17:F17"/>
    <mergeCell ref="D18:F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"/>
  <sheetViews>
    <sheetView workbookViewId="0">
      <selection activeCell="G5" sqref="G5"/>
    </sheetView>
  </sheetViews>
  <sheetFormatPr defaultRowHeight="14.4" x14ac:dyDescent="0.3"/>
  <cols>
    <col min="2" max="2" width="5.21875" customWidth="1"/>
    <col min="3" max="3" width="15.5546875" customWidth="1"/>
    <col min="6" max="6" width="14" customWidth="1"/>
    <col min="7" max="7" width="15" customWidth="1"/>
    <col min="8" max="8" width="13.21875" customWidth="1"/>
    <col min="9" max="9" width="13.88671875" customWidth="1"/>
  </cols>
  <sheetData>
    <row r="1" spans="2:10" x14ac:dyDescent="0.3">
      <c r="B1" s="1" t="s">
        <v>0</v>
      </c>
      <c r="C1" s="1"/>
    </row>
    <row r="2" spans="2:10" ht="15" thickBot="1" x14ac:dyDescent="0.35"/>
    <row r="3" spans="2:10" ht="28.2" customHeight="1" x14ac:dyDescent="0.45">
      <c r="B3" s="85" t="s">
        <v>1</v>
      </c>
      <c r="C3" s="86"/>
      <c r="D3" s="86"/>
      <c r="E3" s="86"/>
      <c r="F3" s="86"/>
      <c r="G3" s="86"/>
      <c r="H3" s="86"/>
      <c r="I3" s="87"/>
    </row>
    <row r="4" spans="2:10" ht="16.2" x14ac:dyDescent="0.35">
      <c r="B4" s="31" t="s">
        <v>2</v>
      </c>
      <c r="C4" s="32" t="s">
        <v>3</v>
      </c>
      <c r="D4" s="32" t="s">
        <v>4</v>
      </c>
      <c r="E4" s="32" t="s">
        <v>5</v>
      </c>
      <c r="F4" s="33" t="s">
        <v>6</v>
      </c>
      <c r="G4" s="32" t="s">
        <v>7</v>
      </c>
      <c r="H4" s="32" t="s">
        <v>8</v>
      </c>
      <c r="I4" s="34" t="s">
        <v>106</v>
      </c>
      <c r="J4" s="9"/>
    </row>
    <row r="5" spans="2:10" ht="18" x14ac:dyDescent="0.35">
      <c r="B5" s="11">
        <v>1</v>
      </c>
      <c r="C5" s="13" t="s">
        <v>9</v>
      </c>
      <c r="D5" s="13" t="s">
        <v>15</v>
      </c>
      <c r="E5" s="12" t="s">
        <v>21</v>
      </c>
      <c r="F5" s="13">
        <v>24</v>
      </c>
      <c r="G5" s="13">
        <f>IF(E5="NỮ",200000,0)</f>
        <v>0</v>
      </c>
      <c r="H5" s="13">
        <f>IF(F5&gt;=24,300000,0)</f>
        <v>300000</v>
      </c>
      <c r="I5" s="42">
        <f>IF(OR(AND(E5="NAM",F5&gt;26),AND(E5="NỮ",F5&gt;25)),100000,0)</f>
        <v>0</v>
      </c>
    </row>
    <row r="6" spans="2:10" ht="18" x14ac:dyDescent="0.35">
      <c r="B6" s="11">
        <v>2</v>
      </c>
      <c r="C6" s="13" t="s">
        <v>10</v>
      </c>
      <c r="D6" s="13" t="s">
        <v>16</v>
      </c>
      <c r="E6" s="12" t="s">
        <v>21</v>
      </c>
      <c r="F6" s="13">
        <v>25</v>
      </c>
      <c r="G6" s="13">
        <f t="shared" ref="G6:G10" si="0">IF(E6="NỮ",200000,0)</f>
        <v>0</v>
      </c>
      <c r="H6" s="13">
        <f t="shared" ref="H6:H10" si="1">IF(F6&gt;=24,300000,0)</f>
        <v>300000</v>
      </c>
      <c r="I6" s="42">
        <f t="shared" ref="I6:I10" si="2">IF(OR(AND(E6="NAM",F6&gt;26),AND(E6="NỮ",F6&gt;25)),100000,0)</f>
        <v>0</v>
      </c>
    </row>
    <row r="7" spans="2:10" ht="18" x14ac:dyDescent="0.35">
      <c r="B7" s="11">
        <v>3</v>
      </c>
      <c r="C7" s="13" t="s">
        <v>11</v>
      </c>
      <c r="D7" s="13" t="s">
        <v>17</v>
      </c>
      <c r="E7" s="12" t="s">
        <v>22</v>
      </c>
      <c r="F7" s="13">
        <v>26</v>
      </c>
      <c r="G7" s="13">
        <f t="shared" si="0"/>
        <v>200000</v>
      </c>
      <c r="H7" s="13">
        <f t="shared" si="1"/>
        <v>300000</v>
      </c>
      <c r="I7" s="42">
        <f t="shared" si="2"/>
        <v>100000</v>
      </c>
    </row>
    <row r="8" spans="2:10" ht="18" x14ac:dyDescent="0.35">
      <c r="B8" s="11">
        <v>4</v>
      </c>
      <c r="C8" s="13" t="s">
        <v>12</v>
      </c>
      <c r="D8" s="13" t="s">
        <v>18</v>
      </c>
      <c r="E8" s="12" t="s">
        <v>22</v>
      </c>
      <c r="F8" s="13">
        <v>22</v>
      </c>
      <c r="G8" s="13">
        <f t="shared" si="0"/>
        <v>200000</v>
      </c>
      <c r="H8" s="13">
        <f t="shared" si="1"/>
        <v>0</v>
      </c>
      <c r="I8" s="42">
        <f t="shared" si="2"/>
        <v>0</v>
      </c>
    </row>
    <row r="9" spans="2:10" ht="18" x14ac:dyDescent="0.35">
      <c r="B9" s="11">
        <v>5</v>
      </c>
      <c r="C9" s="13" t="s">
        <v>13</v>
      </c>
      <c r="D9" s="13" t="s">
        <v>19</v>
      </c>
      <c r="E9" s="12" t="s">
        <v>21</v>
      </c>
      <c r="F9" s="13">
        <v>27</v>
      </c>
      <c r="G9" s="13">
        <f t="shared" si="0"/>
        <v>0</v>
      </c>
      <c r="H9" s="13">
        <f t="shared" si="1"/>
        <v>300000</v>
      </c>
      <c r="I9" s="42">
        <f t="shared" si="2"/>
        <v>100000</v>
      </c>
    </row>
    <row r="10" spans="2:10" ht="18.600000000000001" thickBot="1" x14ac:dyDescent="0.4">
      <c r="B10" s="14">
        <v>6</v>
      </c>
      <c r="C10" s="15" t="s">
        <v>14</v>
      </c>
      <c r="D10" s="15" t="s">
        <v>20</v>
      </c>
      <c r="E10" s="16" t="s">
        <v>22</v>
      </c>
      <c r="F10" s="15">
        <v>25</v>
      </c>
      <c r="G10" s="13">
        <f t="shared" si="0"/>
        <v>200000</v>
      </c>
      <c r="H10" s="13">
        <f t="shared" si="1"/>
        <v>300000</v>
      </c>
      <c r="I10" s="42">
        <f t="shared" si="2"/>
        <v>0</v>
      </c>
    </row>
  </sheetData>
  <mergeCells count="1">
    <mergeCell ref="B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2025-12-18T14:27:48Z</dcterms:created>
  <dcterms:modified xsi:type="dcterms:W3CDTF">2025-12-21T02:43:37Z</dcterms:modified>
</cp:coreProperties>
</file>