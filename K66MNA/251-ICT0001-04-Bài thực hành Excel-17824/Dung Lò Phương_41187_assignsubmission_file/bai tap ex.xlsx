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ONG DUNG\Downloads\"/>
    </mc:Choice>
  </mc:AlternateContent>
  <xr:revisionPtr revIDLastSave="0" documentId="13_ncr:1_{BEDC4EA7-50C8-46F0-A75F-B405D4013583}" xr6:coauthVersionLast="47" xr6:coauthVersionMax="47" xr10:uidLastSave="{00000000-0000-0000-0000-000000000000}"/>
  <bookViews>
    <workbookView xWindow="-120" yWindow="-120" windowWidth="20730" windowHeight="11160" activeTab="3" xr2:uid="{016A07B5-4407-46E4-8663-B6741D78BEBF}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definedNames>
    <definedName name="_xlnm._FilterDatabase" localSheetId="2" hidden="1">'BẢNG TÍNH 3'!$E$3:$E$17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I12" i="4"/>
  <c r="F4" i="4" l="1"/>
  <c r="J5" i="4"/>
  <c r="J6" i="4"/>
  <c r="J7" i="4"/>
  <c r="J8" i="4"/>
  <c r="J9" i="4"/>
  <c r="J10" i="4"/>
  <c r="J11" i="4"/>
  <c r="J4" i="4"/>
  <c r="G5" i="4"/>
  <c r="G6" i="4"/>
  <c r="G12" i="4" s="1"/>
  <c r="G7" i="4"/>
  <c r="L7" i="4" s="1"/>
  <c r="G8" i="4"/>
  <c r="G9" i="4"/>
  <c r="G10" i="4"/>
  <c r="G11" i="4"/>
  <c r="L11" i="4" s="1"/>
  <c r="G4" i="4"/>
  <c r="J12" i="4" l="1"/>
  <c r="L4" i="4"/>
  <c r="L8" i="4"/>
  <c r="L10" i="4"/>
  <c r="L6" i="4"/>
  <c r="L9" i="4"/>
  <c r="L5" i="4"/>
  <c r="F10" i="4" l="1"/>
  <c r="F5" i="4"/>
  <c r="F6" i="4"/>
  <c r="I6" i="4" s="1"/>
  <c r="F7" i="4"/>
  <c r="F8" i="4"/>
  <c r="F9" i="4"/>
  <c r="F11" i="4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3" i="3"/>
  <c r="I6" i="2"/>
  <c r="I7" i="2"/>
  <c r="I8" i="2"/>
  <c r="I9" i="2"/>
  <c r="I10" i="2"/>
  <c r="I5" i="2"/>
  <c r="L10" i="1"/>
  <c r="L11" i="1"/>
  <c r="L12" i="1"/>
  <c r="L13" i="1"/>
  <c r="L14" i="1"/>
  <c r="L15" i="1"/>
  <c r="L16" i="1"/>
  <c r="L17" i="1"/>
  <c r="L18" i="1"/>
  <c r="L19" i="1"/>
  <c r="L9" i="1"/>
  <c r="L8" i="1"/>
  <c r="G8" i="2"/>
  <c r="G9" i="2"/>
  <c r="G10" i="2"/>
  <c r="G7" i="2"/>
  <c r="H5" i="2"/>
  <c r="H6" i="2"/>
  <c r="H7" i="2"/>
  <c r="H8" i="2"/>
  <c r="H9" i="2"/>
  <c r="H10" i="2"/>
  <c r="G20" i="1"/>
  <c r="H20" i="1"/>
  <c r="I20" i="1"/>
  <c r="F20" i="1"/>
  <c r="G6" i="2"/>
  <c r="G5" i="2"/>
  <c r="F12" i="4" l="1"/>
  <c r="I11" i="4"/>
  <c r="K11" i="4" s="1"/>
  <c r="H11" i="4"/>
  <c r="H9" i="4"/>
  <c r="I9" i="4"/>
  <c r="K9" i="4" s="1"/>
  <c r="K6" i="4"/>
  <c r="H6" i="4"/>
  <c r="I8" i="4"/>
  <c r="K8" i="4" s="1"/>
  <c r="H8" i="4"/>
  <c r="H5" i="4"/>
  <c r="I5" i="4"/>
  <c r="K5" i="4" s="1"/>
  <c r="I4" i="4"/>
  <c r="H4" i="4"/>
  <c r="I7" i="4"/>
  <c r="K7" i="4" s="1"/>
  <c r="H7" i="4"/>
  <c r="I10" i="4"/>
  <c r="K10" i="4" s="1"/>
  <c r="H10" i="4"/>
  <c r="J9" i="1"/>
  <c r="J10" i="1"/>
  <c r="J11" i="1"/>
  <c r="J12" i="1"/>
  <c r="J13" i="1"/>
  <c r="J14" i="1"/>
  <c r="J15" i="1"/>
  <c r="J16" i="1"/>
  <c r="J17" i="1"/>
  <c r="J18" i="1"/>
  <c r="J19" i="1"/>
  <c r="J8" i="1"/>
  <c r="H12" i="4" l="1"/>
  <c r="K4" i="4"/>
  <c r="J19" i="3"/>
  <c r="I21" i="3"/>
  <c r="J21" i="3"/>
  <c r="J20" i="3"/>
  <c r="J18" i="3"/>
  <c r="G22" i="1"/>
  <c r="H22" i="1"/>
  <c r="F22" i="1"/>
  <c r="G21" i="1"/>
  <c r="H21" i="1"/>
  <c r="F21" i="1"/>
  <c r="K7" i="3"/>
  <c r="K11" i="3"/>
  <c r="I4" i="3"/>
  <c r="K4" i="3" s="1"/>
  <c r="I5" i="3"/>
  <c r="K5" i="3" s="1"/>
  <c r="I6" i="3"/>
  <c r="K6" i="3" s="1"/>
  <c r="L6" i="3" s="1"/>
  <c r="I7" i="3"/>
  <c r="L7" i="3" s="1"/>
  <c r="I8" i="3"/>
  <c r="K8" i="3" s="1"/>
  <c r="I9" i="3"/>
  <c r="K9" i="3" s="1"/>
  <c r="I10" i="3"/>
  <c r="K10" i="3" s="1"/>
  <c r="L10" i="3" s="1"/>
  <c r="I11" i="3"/>
  <c r="L11" i="3" s="1"/>
  <c r="I12" i="3"/>
  <c r="K12" i="3" s="1"/>
  <c r="I13" i="3"/>
  <c r="K13" i="3" s="1"/>
  <c r="I14" i="3"/>
  <c r="K14" i="3" s="1"/>
  <c r="L14" i="3" s="1"/>
  <c r="I15" i="3"/>
  <c r="I19" i="3" s="1"/>
  <c r="I16" i="3"/>
  <c r="K16" i="3" s="1"/>
  <c r="I17" i="3"/>
  <c r="K17" i="3" s="1"/>
  <c r="I3" i="3"/>
  <c r="I20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3" i="3"/>
  <c r="I9" i="1"/>
  <c r="I10" i="1"/>
  <c r="I11" i="1"/>
  <c r="I12" i="1"/>
  <c r="I13" i="1"/>
  <c r="I14" i="1"/>
  <c r="K14" i="1" s="1"/>
  <c r="I15" i="1"/>
  <c r="I16" i="1"/>
  <c r="I17" i="1"/>
  <c r="I18" i="1"/>
  <c r="I19" i="1"/>
  <c r="I8" i="1"/>
  <c r="K15" i="3" l="1"/>
  <c r="K17" i="1"/>
  <c r="K13" i="1"/>
  <c r="K9" i="1"/>
  <c r="K18" i="1"/>
  <c r="K10" i="1"/>
  <c r="K8" i="1"/>
  <c r="K16" i="1"/>
  <c r="K12" i="1"/>
  <c r="K19" i="1"/>
  <c r="K15" i="1"/>
  <c r="K11" i="1"/>
  <c r="I21" i="1"/>
  <c r="I22" i="1"/>
  <c r="H21" i="3"/>
  <c r="H19" i="3"/>
  <c r="K3" i="3"/>
  <c r="L17" i="3"/>
  <c r="L13" i="3"/>
  <c r="L9" i="3"/>
  <c r="L5" i="3"/>
  <c r="L16" i="3"/>
  <c r="L12" i="3"/>
  <c r="L8" i="3"/>
  <c r="L4" i="3"/>
  <c r="I18" i="3"/>
  <c r="H18" i="3"/>
  <c r="H20" i="3"/>
  <c r="K18" i="3" l="1"/>
  <c r="K21" i="3"/>
  <c r="K19" i="3"/>
  <c r="L15" i="3"/>
  <c r="L18" i="3" s="1"/>
  <c r="K20" i="3"/>
  <c r="L3" i="3"/>
  <c r="L19" i="3" l="1"/>
  <c r="L21" i="3"/>
  <c r="L20" i="3"/>
</calcChain>
</file>

<file path=xl/sharedStrings.xml><?xml version="1.0" encoding="utf-8"?>
<sst xmlns="http://schemas.openxmlformats.org/spreadsheetml/2006/main" count="170" uniqueCount="110">
  <si>
    <t>KẾT QUẢ THI CUỐI KHOÁ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</si>
  <si>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</si>
  <si>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</si>
  <si>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</si>
  <si>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</si>
  <si>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</si>
  <si>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</si>
  <si>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</si>
  <si>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</si>
  <si>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</si>
  <si>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</si>
  <si>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</si>
  <si>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</si>
  <si>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</si>
  <si>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</si>
  <si>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</si>
  <si>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</si>
  <si>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</si>
  <si>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</si>
  <si>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</si>
  <si>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</si>
  <si>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</si>
  <si>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</si>
  <si>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</si>
  <si>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KHEN THƯỞNG</t>
  </si>
  <si>
    <t>TRUNG BÌNH</t>
  </si>
  <si>
    <t>CAO NHẤT</t>
  </si>
  <si>
    <t>THẤP NHẤT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</si>
  <si>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</si>
  <si>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</si>
  <si>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</si>
  <si>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</si>
  <si>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</si>
  <si>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</si>
  <si>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</si>
  <si>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Phạm Hùng</t>
  </si>
  <si>
    <t>Lê Ngọc</t>
  </si>
  <si>
    <t>Phạm Thanh</t>
  </si>
  <si>
    <t>Phạm Hoài</t>
  </si>
  <si>
    <t>Lê Thanh</t>
  </si>
  <si>
    <t>Lan</t>
  </si>
  <si>
    <t>Nam</t>
  </si>
  <si>
    <t>Long</t>
  </si>
  <si>
    <t>Xuân</t>
  </si>
  <si>
    <t>Cường</t>
  </si>
  <si>
    <t>Tuấn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</si>
  <si>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</si>
  <si>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</si>
  <si>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</si>
  <si>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</si>
  <si>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</si>
  <si>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</si>
  <si>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</si>
  <si>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</si>
  <si>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</si>
  <si>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</si>
  <si>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</si>
  <si>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</si>
  <si>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</si>
  <si>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</si>
  <si>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</si>
  <si>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</si>
  <si>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</si>
  <si>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</si>
  <si>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</si>
  <si>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</si>
  <si>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</si>
  <si>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</si>
  <si>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Hoà</t>
  </si>
  <si>
    <t>TP</t>
  </si>
  <si>
    <t>NV</t>
  </si>
  <si>
    <t>PP</t>
  </si>
  <si>
    <t>KT</t>
  </si>
  <si>
    <t>BV</t>
  </si>
  <si>
    <t>21/2/1967</t>
  </si>
  <si>
    <t>TỔNG CỘNG</t>
  </si>
  <si>
    <t>BÌNH QUÂN</t>
  </si>
  <si>
    <t>TUỔI</t>
  </si>
  <si>
    <t>THƯỞNG</t>
  </si>
  <si>
    <t>CÒN LẠI</t>
  </si>
  <si>
    <t>PGĐ</t>
  </si>
  <si>
    <t>GĐ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</si>
  <si>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</si>
  <si>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</si>
  <si>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</si>
  <si>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</si>
  <si>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</si>
  <si>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</si>
  <si>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</si>
  <si>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</si>
  <si>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</si>
  <si>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Cộng</t>
  </si>
  <si>
    <t>Pa0A12</t>
  </si>
  <si>
    <t>Pa0C15</t>
  </si>
  <si>
    <t>To0C23</t>
  </si>
  <si>
    <t>Hi0C12</t>
  </si>
  <si>
    <t>Hi0A13</t>
  </si>
  <si>
    <t>To0B12</t>
  </si>
  <si>
    <t>Sa0B2</t>
  </si>
  <si>
    <t>Bảng tra dữ liệu các loại máy lạnh: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</si>
  <si>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</si>
  <si>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</si>
  <si>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</si>
  <si>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</si>
  <si>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</si>
  <si>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</si>
  <si>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</si>
  <si>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</si>
  <si>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DANH SÁCH CÁC MẶT HÀNG CÓ TIỀN XUẤT &gt;=20000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</si>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</sst>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4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8F5F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0" fillId="0" borderId="0" xfId="0" applyBorder="1" applyAlignment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3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 applyBorder="1"/>
    <xf numFmtId="0" fontId="2" fillId="0" borderId="0" xfId="0" applyFont="1" applyAlignment="1"/>
    <xf numFmtId="0" fontId="1" fillId="0" borderId="0" xfId="0" applyFont="1" applyAlignment="1"/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0" fillId="0" borderId="1" xfId="0" applyNumberFormat="1" applyFont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0" fontId="13" fillId="0" borderId="1" xfId="0" applyFont="1" applyBorder="1"/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/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14" fillId="2" borderId="2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F5F6"/>
      <color rgb="FF88E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71CC-2C7D-4973-8099-6976DB3E8283}">
  <dimension ref="A3:P36"/>
  <sheetViews>
    <sheetView topLeftCell="A3" workbookViewId="0">
      <selection activeCell="L8" sqref="L8:L9"/>
    </sheetView>
  </sheetViews>
  <sheetFormatPr defaultRowHeight="15" x14ac:dyDescent="0.25"/>
  <cols>
    <col min="2" max="2" width="5.7109375" customWidth="1"/>
    <col min="4" max="5" width="6.7109375" customWidth="1"/>
    <col min="6" max="10" width="7.140625" customWidth="1"/>
    <col min="11" max="11" width="8.28515625" customWidth="1"/>
    <col min="12" max="12" width="10.5703125" bestFit="1" customWidth="1"/>
  </cols>
  <sheetData>
    <row r="3" spans="1:16" ht="19.5" thickBot="1" x14ac:dyDescent="0.35">
      <c r="B3" s="12"/>
      <c r="C3" s="12"/>
      <c r="D3" s="12"/>
    </row>
    <row r="4" spans="1:16" ht="15" customHeight="1" x14ac:dyDescent="0.25">
      <c r="A4" s="3"/>
      <c r="B4" s="47" t="s">
        <v>0</v>
      </c>
      <c r="C4" s="48"/>
      <c r="D4" s="48"/>
      <c r="E4" s="48"/>
      <c r="F4" s="48"/>
      <c r="G4" s="48"/>
      <c r="H4" s="48"/>
      <c r="I4" s="48"/>
      <c r="J4" s="48"/>
      <c r="K4" s="48"/>
      <c r="L4" s="49"/>
    </row>
    <row r="5" spans="1:16" ht="15" customHeight="1" thickBot="1" x14ac:dyDescent="0.3">
      <c r="A5" s="3"/>
      <c r="B5" s="50"/>
      <c r="C5" s="51"/>
      <c r="D5" s="51"/>
      <c r="E5" s="51"/>
      <c r="F5" s="51"/>
      <c r="G5" s="51"/>
      <c r="H5" s="51"/>
      <c r="I5" s="51"/>
      <c r="J5" s="51"/>
      <c r="K5" s="51"/>
      <c r="L5" s="52"/>
    </row>
    <row r="6" spans="1:16" ht="15.75" thickTop="1" x14ac:dyDescent="0.25">
      <c r="A6" s="3"/>
      <c r="B6" s="53" t="s">
        <v>1</v>
      </c>
      <c r="C6" s="42" t="s">
        <v>2</v>
      </c>
      <c r="D6" s="42" t="s">
        <v>3</v>
      </c>
      <c r="E6" s="42" t="s">
        <v>4</v>
      </c>
      <c r="F6" s="42" t="s">
        <v>5</v>
      </c>
      <c r="G6" s="42" t="s">
        <v>6</v>
      </c>
      <c r="H6" s="43" t="s">
        <v>7</v>
      </c>
      <c r="I6" s="42" t="s">
        <v>8</v>
      </c>
      <c r="J6" s="42" t="s">
        <v>9</v>
      </c>
      <c r="K6" s="43" t="s">
        <v>10</v>
      </c>
      <c r="L6" s="45" t="s">
        <v>24</v>
      </c>
      <c r="P6" s="3"/>
    </row>
    <row r="7" spans="1:16" x14ac:dyDescent="0.25">
      <c r="A7" s="3"/>
      <c r="B7" s="38"/>
      <c r="C7" s="39"/>
      <c r="D7" s="39"/>
      <c r="E7" s="39"/>
      <c r="F7" s="39"/>
      <c r="G7" s="39"/>
      <c r="H7" s="44"/>
      <c r="I7" s="39"/>
      <c r="J7" s="39"/>
      <c r="K7" s="44"/>
      <c r="L7" s="46"/>
    </row>
    <row r="8" spans="1:16" x14ac:dyDescent="0.25">
      <c r="A8" s="3"/>
      <c r="B8" s="24">
        <v>1</v>
      </c>
      <c r="C8" s="19" t="s">
        <v>11</v>
      </c>
      <c r="D8" s="19" t="s">
        <v>18</v>
      </c>
      <c r="E8" s="4">
        <v>1988</v>
      </c>
      <c r="F8" s="20">
        <v>10</v>
      </c>
      <c r="G8" s="20">
        <v>8</v>
      </c>
      <c r="H8" s="20">
        <v>9</v>
      </c>
      <c r="I8" s="21">
        <f>(F8*2+G8*2+H8)/5</f>
        <v>9</v>
      </c>
      <c r="J8" s="4" t="str">
        <f>IF(I8&gt;=5,"ĐẠT","RỚT")</f>
        <v>ĐẠT</v>
      </c>
      <c r="K8" s="8">
        <f>RANK(I8,$I$8:$I$19)</f>
        <v>1</v>
      </c>
      <c r="L8" s="25">
        <f>IF(K8=1,200,IF(K8=2,100,0))</f>
        <v>200</v>
      </c>
    </row>
    <row r="9" spans="1:16" x14ac:dyDescent="0.25">
      <c r="A9" s="3"/>
      <c r="B9" s="24">
        <v>2</v>
      </c>
      <c r="C9" s="19" t="s">
        <v>12</v>
      </c>
      <c r="D9" s="19" t="s">
        <v>18</v>
      </c>
      <c r="E9" s="4">
        <v>1987</v>
      </c>
      <c r="F9" s="20">
        <v>8</v>
      </c>
      <c r="G9" s="20">
        <v>8.5</v>
      </c>
      <c r="H9" s="20">
        <v>9</v>
      </c>
      <c r="I9" s="21">
        <f t="shared" ref="I9:I19" si="0">(F9*2+G9*2+H9)/5</f>
        <v>8.4</v>
      </c>
      <c r="J9" s="4" t="str">
        <f t="shared" ref="J9:J19" si="1">IF(I9&gt;=5,"ĐẠT","RỚT")</f>
        <v>ĐẠT</v>
      </c>
      <c r="K9" s="8">
        <f t="shared" ref="K9:K19" si="2">RANK(I9,$I$8:$I$19)</f>
        <v>2</v>
      </c>
      <c r="L9" s="25">
        <f>IF(K9=1,200,IF(K9=2,100,0))</f>
        <v>100</v>
      </c>
    </row>
    <row r="10" spans="1:16" x14ac:dyDescent="0.25">
      <c r="A10" s="3"/>
      <c r="B10" s="24">
        <v>3</v>
      </c>
      <c r="C10" s="19" t="s">
        <v>13</v>
      </c>
      <c r="D10" s="19" t="s">
        <v>18</v>
      </c>
      <c r="E10" s="4">
        <v>1986</v>
      </c>
      <c r="F10" s="20">
        <v>9</v>
      </c>
      <c r="G10" s="20">
        <v>8</v>
      </c>
      <c r="H10" s="20">
        <v>7</v>
      </c>
      <c r="I10" s="21">
        <f t="shared" si="0"/>
        <v>8.1999999999999993</v>
      </c>
      <c r="J10" s="4" t="str">
        <f t="shared" si="1"/>
        <v>ĐẠT</v>
      </c>
      <c r="K10" s="8">
        <f t="shared" si="2"/>
        <v>3</v>
      </c>
      <c r="L10" s="59">
        <f t="shared" ref="L10:L19" si="3">IF(K10=1,200,IF(K10=2,100,0))</f>
        <v>0</v>
      </c>
    </row>
    <row r="11" spans="1:16" x14ac:dyDescent="0.25">
      <c r="A11" s="3"/>
      <c r="B11" s="24">
        <v>4</v>
      </c>
      <c r="C11" s="19" t="s">
        <v>14</v>
      </c>
      <c r="D11" s="19" t="s">
        <v>23</v>
      </c>
      <c r="E11" s="4">
        <v>1988</v>
      </c>
      <c r="F11" s="20">
        <v>10</v>
      </c>
      <c r="G11" s="20">
        <v>4</v>
      </c>
      <c r="H11" s="20">
        <v>7</v>
      </c>
      <c r="I11" s="21">
        <f t="shared" si="0"/>
        <v>7</v>
      </c>
      <c r="J11" s="4" t="str">
        <f t="shared" si="1"/>
        <v>ĐẠT</v>
      </c>
      <c r="K11" s="8">
        <f t="shared" si="2"/>
        <v>4</v>
      </c>
      <c r="L11" s="59">
        <f t="shared" si="3"/>
        <v>0</v>
      </c>
    </row>
    <row r="12" spans="1:16" x14ac:dyDescent="0.25">
      <c r="A12" s="3"/>
      <c r="B12" s="24">
        <v>5</v>
      </c>
      <c r="C12" s="19" t="s">
        <v>15</v>
      </c>
      <c r="D12" s="19" t="s">
        <v>18</v>
      </c>
      <c r="E12" s="4">
        <v>1988</v>
      </c>
      <c r="F12" s="20">
        <v>9</v>
      </c>
      <c r="G12" s="20">
        <v>5</v>
      </c>
      <c r="H12" s="20">
        <v>6</v>
      </c>
      <c r="I12" s="21">
        <f t="shared" si="0"/>
        <v>6.8</v>
      </c>
      <c r="J12" s="4" t="str">
        <f t="shared" si="1"/>
        <v>ĐẠT</v>
      </c>
      <c r="K12" s="8">
        <f t="shared" si="2"/>
        <v>5</v>
      </c>
      <c r="L12" s="59">
        <f t="shared" si="3"/>
        <v>0</v>
      </c>
    </row>
    <row r="13" spans="1:16" x14ac:dyDescent="0.25">
      <c r="A13" s="3"/>
      <c r="B13" s="24">
        <v>6</v>
      </c>
      <c r="C13" s="19" t="s">
        <v>16</v>
      </c>
      <c r="D13" s="19" t="s">
        <v>23</v>
      </c>
      <c r="E13" s="4">
        <v>1987</v>
      </c>
      <c r="F13" s="20">
        <v>6</v>
      </c>
      <c r="G13" s="20">
        <v>6</v>
      </c>
      <c r="H13" s="20">
        <v>8</v>
      </c>
      <c r="I13" s="21">
        <f t="shared" si="0"/>
        <v>6.4</v>
      </c>
      <c r="J13" s="4" t="str">
        <f t="shared" si="1"/>
        <v>ĐẠT</v>
      </c>
      <c r="K13" s="8">
        <f t="shared" si="2"/>
        <v>6</v>
      </c>
      <c r="L13" s="59">
        <f t="shared" si="3"/>
        <v>0</v>
      </c>
    </row>
    <row r="14" spans="1:16" x14ac:dyDescent="0.25">
      <c r="A14" s="3"/>
      <c r="B14" s="24">
        <v>7</v>
      </c>
      <c r="C14" s="19" t="s">
        <v>17</v>
      </c>
      <c r="D14" s="19" t="s">
        <v>18</v>
      </c>
      <c r="E14" s="4">
        <v>1986</v>
      </c>
      <c r="F14" s="20">
        <v>7.5</v>
      </c>
      <c r="G14" s="20">
        <v>5</v>
      </c>
      <c r="H14" s="20">
        <v>6</v>
      </c>
      <c r="I14" s="21">
        <f t="shared" si="0"/>
        <v>6.2</v>
      </c>
      <c r="J14" s="4" t="str">
        <f t="shared" si="1"/>
        <v>ĐẠT</v>
      </c>
      <c r="K14" s="8">
        <f t="shared" si="2"/>
        <v>7</v>
      </c>
      <c r="L14" s="59">
        <f t="shared" si="3"/>
        <v>0</v>
      </c>
    </row>
    <row r="15" spans="1:16" x14ac:dyDescent="0.25">
      <c r="A15" s="3"/>
      <c r="B15" s="24">
        <v>8</v>
      </c>
      <c r="C15" s="19" t="s">
        <v>18</v>
      </c>
      <c r="D15" s="19" t="s">
        <v>18</v>
      </c>
      <c r="E15" s="4">
        <v>1988</v>
      </c>
      <c r="F15" s="20">
        <v>3</v>
      </c>
      <c r="G15" s="20">
        <v>9</v>
      </c>
      <c r="H15" s="20">
        <v>7</v>
      </c>
      <c r="I15" s="21">
        <f t="shared" si="0"/>
        <v>6.2</v>
      </c>
      <c r="J15" s="4" t="str">
        <f t="shared" si="1"/>
        <v>ĐẠT</v>
      </c>
      <c r="K15" s="8">
        <f t="shared" si="2"/>
        <v>7</v>
      </c>
      <c r="L15" s="59">
        <f t="shared" si="3"/>
        <v>0</v>
      </c>
    </row>
    <row r="16" spans="1:16" x14ac:dyDescent="0.25">
      <c r="A16" s="3"/>
      <c r="B16" s="24">
        <v>9</v>
      </c>
      <c r="C16" s="19" t="s">
        <v>19</v>
      </c>
      <c r="D16" s="19" t="s">
        <v>23</v>
      </c>
      <c r="E16" s="4">
        <v>1988</v>
      </c>
      <c r="F16" s="20">
        <v>4</v>
      </c>
      <c r="G16" s="20">
        <v>5</v>
      </c>
      <c r="H16" s="20">
        <v>5.5</v>
      </c>
      <c r="I16" s="21">
        <f t="shared" si="0"/>
        <v>4.7</v>
      </c>
      <c r="J16" s="4" t="str">
        <f t="shared" si="1"/>
        <v>RỚT</v>
      </c>
      <c r="K16" s="8">
        <f t="shared" si="2"/>
        <v>10</v>
      </c>
      <c r="L16" s="59">
        <f t="shared" si="3"/>
        <v>0</v>
      </c>
    </row>
    <row r="17" spans="1:12" x14ac:dyDescent="0.25">
      <c r="A17" s="3"/>
      <c r="B17" s="24">
        <v>10</v>
      </c>
      <c r="C17" s="19" t="s">
        <v>20</v>
      </c>
      <c r="D17" s="19" t="s">
        <v>23</v>
      </c>
      <c r="E17" s="4">
        <v>1988</v>
      </c>
      <c r="F17" s="20">
        <v>4.5</v>
      </c>
      <c r="G17" s="20">
        <v>6</v>
      </c>
      <c r="H17" s="20">
        <v>4</v>
      </c>
      <c r="I17" s="21">
        <f t="shared" si="0"/>
        <v>5</v>
      </c>
      <c r="J17" s="4" t="str">
        <f t="shared" si="1"/>
        <v>ĐẠT</v>
      </c>
      <c r="K17" s="8">
        <f t="shared" si="2"/>
        <v>9</v>
      </c>
      <c r="L17" s="59">
        <f t="shared" si="3"/>
        <v>0</v>
      </c>
    </row>
    <row r="18" spans="1:12" x14ac:dyDescent="0.25">
      <c r="A18" s="3"/>
      <c r="B18" s="24">
        <v>11</v>
      </c>
      <c r="C18" s="19" t="s">
        <v>21</v>
      </c>
      <c r="D18" s="19" t="s">
        <v>18</v>
      </c>
      <c r="E18" s="4">
        <v>1987</v>
      </c>
      <c r="F18" s="20">
        <v>3</v>
      </c>
      <c r="G18" s="20">
        <v>5</v>
      </c>
      <c r="H18" s="20">
        <v>5</v>
      </c>
      <c r="I18" s="21">
        <f t="shared" si="0"/>
        <v>4.2</v>
      </c>
      <c r="J18" s="4" t="str">
        <f t="shared" si="1"/>
        <v>RỚT</v>
      </c>
      <c r="K18" s="8">
        <f t="shared" si="2"/>
        <v>11</v>
      </c>
      <c r="L18" s="59">
        <f t="shared" si="3"/>
        <v>0</v>
      </c>
    </row>
    <row r="19" spans="1:12" x14ac:dyDescent="0.25">
      <c r="A19" s="3"/>
      <c r="B19" s="24">
        <v>12</v>
      </c>
      <c r="C19" s="19" t="s">
        <v>22</v>
      </c>
      <c r="D19" s="19" t="s">
        <v>18</v>
      </c>
      <c r="E19" s="4">
        <v>1986</v>
      </c>
      <c r="F19" s="20">
        <v>4</v>
      </c>
      <c r="G19" s="20">
        <v>3</v>
      </c>
      <c r="H19" s="20">
        <v>5</v>
      </c>
      <c r="I19" s="21">
        <f t="shared" si="0"/>
        <v>3.8</v>
      </c>
      <c r="J19" s="4" t="str">
        <f t="shared" si="1"/>
        <v>RỚT</v>
      </c>
      <c r="K19" s="8">
        <f t="shared" si="2"/>
        <v>12</v>
      </c>
      <c r="L19" s="59">
        <f t="shared" si="3"/>
        <v>0</v>
      </c>
    </row>
    <row r="20" spans="1:12" x14ac:dyDescent="0.25">
      <c r="A20" s="3"/>
      <c r="B20" s="38" t="s">
        <v>25</v>
      </c>
      <c r="C20" s="39"/>
      <c r="D20" s="39"/>
      <c r="E20" s="39"/>
      <c r="F20" s="6">
        <f>AVERAGE(F8:F19)</f>
        <v>6.5</v>
      </c>
      <c r="G20" s="6">
        <f t="shared" ref="G20:I20" si="4">AVERAGE(G8:G19)</f>
        <v>6.041666666666667</v>
      </c>
      <c r="H20" s="6">
        <f t="shared" si="4"/>
        <v>6.541666666666667</v>
      </c>
      <c r="I20" s="6">
        <f t="shared" si="4"/>
        <v>6.3250000000000002</v>
      </c>
      <c r="J20" s="5"/>
      <c r="K20" s="5"/>
      <c r="L20" s="59"/>
    </row>
    <row r="21" spans="1:12" x14ac:dyDescent="0.25">
      <c r="A21" s="3"/>
      <c r="B21" s="38" t="s">
        <v>26</v>
      </c>
      <c r="C21" s="39"/>
      <c r="D21" s="39"/>
      <c r="E21" s="39"/>
      <c r="F21" s="7">
        <f>MAX(F8:F19)</f>
        <v>10</v>
      </c>
      <c r="G21" s="7">
        <f t="shared" ref="G21:I21" si="5">MAX(G8:G19)</f>
        <v>9</v>
      </c>
      <c r="H21" s="7">
        <f t="shared" si="5"/>
        <v>9</v>
      </c>
      <c r="I21" s="7">
        <f t="shared" si="5"/>
        <v>9</v>
      </c>
      <c r="J21" s="5"/>
      <c r="K21" s="5"/>
      <c r="L21" s="59"/>
    </row>
    <row r="22" spans="1:12" ht="15.75" thickBot="1" x14ac:dyDescent="0.3">
      <c r="A22" s="3"/>
      <c r="B22" s="40" t="s">
        <v>27</v>
      </c>
      <c r="C22" s="41"/>
      <c r="D22" s="41"/>
      <c r="E22" s="41"/>
      <c r="F22" s="26">
        <f>MIN(F8:F19)</f>
        <v>3</v>
      </c>
      <c r="G22" s="26">
        <f t="shared" ref="G22:I22" si="6">MIN(G8:G19)</f>
        <v>3</v>
      </c>
      <c r="H22" s="26">
        <f t="shared" si="6"/>
        <v>4</v>
      </c>
      <c r="I22" s="26">
        <f t="shared" si="6"/>
        <v>3.8</v>
      </c>
      <c r="J22" s="27"/>
      <c r="K22" s="27"/>
      <c r="L22" s="59"/>
    </row>
    <row r="25" spans="1:12" ht="18.75" x14ac:dyDescent="0.3">
      <c r="B25" s="12"/>
      <c r="C25" s="13"/>
      <c r="D25" s="13"/>
    </row>
    <row r="26" spans="1:12" ht="32.25" customHeight="1" x14ac:dyDescent="0.4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0" customHeight="1" x14ac:dyDescent="0.3">
      <c r="A27" s="3"/>
      <c r="B27" s="10"/>
      <c r="C27" s="10"/>
      <c r="D27" s="10"/>
      <c r="E27" s="10"/>
      <c r="F27" s="10"/>
      <c r="G27" s="10"/>
      <c r="H27" s="10"/>
      <c r="I27" s="10"/>
      <c r="J27" s="2"/>
      <c r="K27" s="10"/>
      <c r="L27" s="10"/>
    </row>
    <row r="28" spans="1:12" ht="15" customHeight="1" x14ac:dyDescent="0.3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 x14ac:dyDescent="0.3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8.75" x14ac:dyDescent="0.3">
      <c r="A30" s="3"/>
      <c r="B30" s="11"/>
      <c r="C30" s="10"/>
      <c r="D30" s="10"/>
      <c r="E30" s="11"/>
      <c r="F30" s="11"/>
      <c r="G30" s="11"/>
      <c r="H30" s="11"/>
      <c r="I30" s="11"/>
      <c r="J30" s="11"/>
      <c r="K30" s="11"/>
      <c r="L30" s="11"/>
    </row>
    <row r="31" spans="1:12" ht="18.75" x14ac:dyDescent="0.3">
      <c r="A31" s="3"/>
      <c r="B31" s="11"/>
      <c r="C31" s="10"/>
      <c r="D31" s="10"/>
      <c r="E31" s="11"/>
      <c r="F31" s="11"/>
      <c r="G31" s="11"/>
      <c r="H31" s="11"/>
      <c r="I31" s="11"/>
      <c r="J31" s="11"/>
      <c r="K31" s="11"/>
      <c r="L31" s="11"/>
    </row>
    <row r="32" spans="1:12" ht="18.75" x14ac:dyDescent="0.3">
      <c r="A32" s="3"/>
      <c r="B32" s="11"/>
      <c r="C32" s="10"/>
      <c r="D32" s="10"/>
      <c r="E32" s="11"/>
      <c r="F32" s="11"/>
      <c r="G32" s="11"/>
      <c r="H32" s="11"/>
      <c r="I32" s="11"/>
      <c r="J32" s="11"/>
      <c r="K32" s="11"/>
      <c r="L32" s="11"/>
    </row>
    <row r="33" spans="1:12" ht="18.75" x14ac:dyDescent="0.3">
      <c r="A33" s="3"/>
      <c r="B33" s="11"/>
      <c r="C33" s="10"/>
      <c r="D33" s="10"/>
      <c r="E33" s="11"/>
      <c r="F33" s="11"/>
      <c r="G33" s="11"/>
      <c r="H33" s="11"/>
      <c r="I33" s="11"/>
      <c r="J33" s="11"/>
      <c r="K33" s="11"/>
      <c r="L33" s="11"/>
    </row>
    <row r="34" spans="1:12" ht="18.75" x14ac:dyDescent="0.3">
      <c r="A34" s="3"/>
      <c r="B34" s="11"/>
      <c r="C34" s="10"/>
      <c r="D34" s="10"/>
      <c r="E34" s="11"/>
      <c r="F34" s="11"/>
      <c r="G34" s="11"/>
      <c r="H34" s="11"/>
      <c r="I34" s="11"/>
      <c r="J34" s="11"/>
      <c r="K34" s="11"/>
      <c r="L34" s="11"/>
    </row>
    <row r="35" spans="1:12" ht="18.75" x14ac:dyDescent="0.3">
      <c r="A35" s="3"/>
      <c r="B35" s="11"/>
      <c r="C35" s="10"/>
      <c r="D35" s="10"/>
      <c r="E35" s="11"/>
      <c r="F35" s="11"/>
      <c r="G35" s="11"/>
      <c r="H35" s="11"/>
      <c r="I35" s="11"/>
      <c r="J35" s="11"/>
      <c r="K35" s="11"/>
      <c r="L35" s="11"/>
    </row>
    <row r="36" spans="1:12" ht="18.75" x14ac:dyDescent="0.3">
      <c r="A36" s="3"/>
      <c r="B36" s="11"/>
      <c r="C36" s="10"/>
      <c r="D36" s="10"/>
      <c r="E36" s="11"/>
      <c r="F36" s="11"/>
      <c r="G36" s="11"/>
      <c r="H36" s="11"/>
      <c r="I36" s="11"/>
      <c r="J36" s="11"/>
      <c r="K36" s="11"/>
      <c r="L36" s="11"/>
    </row>
  </sheetData>
  <mergeCells count="15">
    <mergeCell ref="L6:L7"/>
    <mergeCell ref="B20:E20"/>
    <mergeCell ref="B4:L5"/>
    <mergeCell ref="B6:B7"/>
    <mergeCell ref="C6:C7"/>
    <mergeCell ref="D6:D7"/>
    <mergeCell ref="E6:E7"/>
    <mergeCell ref="F6:F7"/>
    <mergeCell ref="G6:G7"/>
    <mergeCell ref="H6:H7"/>
    <mergeCell ref="B21:E21"/>
    <mergeCell ref="B22:E22"/>
    <mergeCell ref="I6:I7"/>
    <mergeCell ref="J6:J7"/>
    <mergeCell ref="K6:K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D3D-2A33-48B6-A3F8-5CC274C3FBD2}">
  <dimension ref="B3:I11"/>
  <sheetViews>
    <sheetView workbookViewId="0">
      <selection activeCell="I9" sqref="I9"/>
    </sheetView>
  </sheetViews>
  <sheetFormatPr defaultRowHeight="15" x14ac:dyDescent="0.25"/>
  <cols>
    <col min="2" max="2" width="5.85546875" customWidth="1"/>
    <col min="3" max="3" width="12.28515625" customWidth="1"/>
    <col min="4" max="5" width="7.85546875" customWidth="1"/>
    <col min="6" max="6" width="16.28515625" customWidth="1"/>
    <col min="7" max="9" width="16.85546875" customWidth="1"/>
  </cols>
  <sheetData>
    <row r="3" spans="2:9" ht="24.75" customHeight="1" x14ac:dyDescent="0.3">
      <c r="B3" s="54" t="s">
        <v>28</v>
      </c>
      <c r="C3" s="55"/>
      <c r="D3" s="55"/>
      <c r="E3" s="55"/>
      <c r="F3" s="55"/>
      <c r="G3" s="55"/>
      <c r="H3" s="55"/>
      <c r="I3" s="55"/>
    </row>
    <row r="4" spans="2:9" ht="24.75" customHeight="1" x14ac:dyDescent="0.25">
      <c r="B4" s="18" t="s">
        <v>1</v>
      </c>
      <c r="C4" s="18" t="s">
        <v>29</v>
      </c>
      <c r="D4" s="18" t="s">
        <v>30</v>
      </c>
      <c r="E4" s="18" t="s">
        <v>3</v>
      </c>
      <c r="F4" s="18" t="s">
        <v>31</v>
      </c>
      <c r="G4" s="18" t="s">
        <v>32</v>
      </c>
      <c r="H4" s="18" t="s">
        <v>33</v>
      </c>
      <c r="I4" s="18" t="s">
        <v>46</v>
      </c>
    </row>
    <row r="5" spans="2:9" ht="16.5" customHeight="1" x14ac:dyDescent="0.25">
      <c r="B5" s="14">
        <v>1</v>
      </c>
      <c r="C5" s="17" t="s">
        <v>34</v>
      </c>
      <c r="D5" s="17" t="s">
        <v>45</v>
      </c>
      <c r="E5" s="17" t="s">
        <v>18</v>
      </c>
      <c r="F5" s="16">
        <v>25</v>
      </c>
      <c r="G5" s="37">
        <f>IF(E5="NỮ",200000,0)</f>
        <v>0</v>
      </c>
      <c r="H5" s="15">
        <f>IF(F5&gt;=24,300,0)</f>
        <v>300</v>
      </c>
      <c r="I5" s="14">
        <f>IF(OR(AND(E5="NAM",F5&gt;26),AND(E5="NỮ",F5&gt;25)),100,0)</f>
        <v>0</v>
      </c>
    </row>
    <row r="6" spans="2:9" ht="16.5" customHeight="1" x14ac:dyDescent="0.25">
      <c r="B6" s="14">
        <v>2</v>
      </c>
      <c r="C6" s="17" t="s">
        <v>35</v>
      </c>
      <c r="D6" s="17" t="s">
        <v>44</v>
      </c>
      <c r="E6" s="17" t="s">
        <v>18</v>
      </c>
      <c r="F6" s="16">
        <v>24</v>
      </c>
      <c r="G6" s="37">
        <f t="shared" ref="G6:G10" si="0">IF(E6="NỮ",200000,0)</f>
        <v>0</v>
      </c>
      <c r="H6" s="15">
        <f t="shared" ref="H6:H10" si="1">IF(F6&gt;=24,300,0)</f>
        <v>300</v>
      </c>
      <c r="I6" s="14">
        <f t="shared" ref="I6:I10" si="2">IF(OR(AND(E6="NAM",F6&gt;26),AND(E6="NỮ",F6&gt;25)),100,0)</f>
        <v>0</v>
      </c>
    </row>
    <row r="7" spans="2:9" ht="16.5" customHeight="1" x14ac:dyDescent="0.25">
      <c r="B7" s="14">
        <v>3</v>
      </c>
      <c r="C7" s="17" t="s">
        <v>36</v>
      </c>
      <c r="D7" s="17" t="s">
        <v>43</v>
      </c>
      <c r="E7" s="17" t="s">
        <v>23</v>
      </c>
      <c r="F7" s="16">
        <v>26</v>
      </c>
      <c r="G7" s="15">
        <f>IF(E7="NỮ",200,0)</f>
        <v>200</v>
      </c>
      <c r="H7" s="15">
        <f t="shared" si="1"/>
        <v>300</v>
      </c>
      <c r="I7" s="15">
        <f t="shared" si="2"/>
        <v>100</v>
      </c>
    </row>
    <row r="8" spans="2:9" ht="16.5" customHeight="1" x14ac:dyDescent="0.25">
      <c r="B8" s="14">
        <v>4</v>
      </c>
      <c r="C8" s="17" t="s">
        <v>37</v>
      </c>
      <c r="D8" s="17" t="s">
        <v>42</v>
      </c>
      <c r="E8" s="17" t="s">
        <v>23</v>
      </c>
      <c r="F8" s="16">
        <v>22</v>
      </c>
      <c r="G8" s="15">
        <f t="shared" ref="G8:G10" si="3">IF(E8="NỮ",200,0)</f>
        <v>200</v>
      </c>
      <c r="H8" s="37">
        <f t="shared" si="1"/>
        <v>0</v>
      </c>
      <c r="I8" s="14">
        <f t="shared" si="2"/>
        <v>0</v>
      </c>
    </row>
    <row r="9" spans="2:9" ht="16.5" customHeight="1" x14ac:dyDescent="0.25">
      <c r="B9" s="14">
        <v>5</v>
      </c>
      <c r="C9" s="17" t="s">
        <v>38</v>
      </c>
      <c r="D9" s="17" t="s">
        <v>41</v>
      </c>
      <c r="E9" s="17" t="s">
        <v>18</v>
      </c>
      <c r="F9" s="16">
        <v>27</v>
      </c>
      <c r="G9" s="37">
        <f t="shared" si="3"/>
        <v>0</v>
      </c>
      <c r="H9" s="15">
        <f t="shared" si="1"/>
        <v>300</v>
      </c>
      <c r="I9" s="15">
        <f t="shared" si="2"/>
        <v>100</v>
      </c>
    </row>
    <row r="10" spans="2:9" ht="16.5" customHeight="1" x14ac:dyDescent="0.25">
      <c r="B10" s="14">
        <v>6</v>
      </c>
      <c r="C10" s="17" t="s">
        <v>39</v>
      </c>
      <c r="D10" s="17" t="s">
        <v>40</v>
      </c>
      <c r="E10" s="17" t="s">
        <v>23</v>
      </c>
      <c r="F10" s="16">
        <v>25</v>
      </c>
      <c r="G10" s="15">
        <f t="shared" si="3"/>
        <v>200</v>
      </c>
      <c r="H10" s="15">
        <f t="shared" si="1"/>
        <v>300</v>
      </c>
      <c r="I10" s="14">
        <f t="shared" si="2"/>
        <v>0</v>
      </c>
    </row>
    <row r="11" spans="2:9" ht="16.5" customHeight="1" x14ac:dyDescent="0.25">
      <c r="B11" s="3"/>
      <c r="C11" s="3"/>
      <c r="D11" s="3"/>
      <c r="E11" s="3"/>
      <c r="F11" s="3"/>
      <c r="G11" s="3"/>
      <c r="H11" s="3"/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818B-BEBC-4E2B-A89D-3CB89E2E35C1}">
  <dimension ref="B2:M21"/>
  <sheetViews>
    <sheetView zoomScale="87" zoomScaleNormal="87" workbookViewId="0">
      <selection activeCell="H5" sqref="H5"/>
    </sheetView>
  </sheetViews>
  <sheetFormatPr defaultRowHeight="15" x14ac:dyDescent="0.25"/>
  <cols>
    <col min="2" max="2" width="5.5703125" customWidth="1"/>
    <col min="3" max="3" width="21.7109375" customWidth="1"/>
    <col min="4" max="4" width="10.28515625" customWidth="1"/>
    <col min="5" max="5" width="19.28515625" customWidth="1"/>
    <col min="6" max="6" width="14" customWidth="1"/>
    <col min="7" max="7" width="7" customWidth="1"/>
    <col min="8" max="8" width="6.28515625" customWidth="1"/>
    <col min="9" max="12" width="10.85546875" customWidth="1"/>
  </cols>
  <sheetData>
    <row r="2" spans="2:12" ht="33" customHeight="1" x14ac:dyDescent="0.25">
      <c r="B2" s="32" t="s">
        <v>1</v>
      </c>
      <c r="C2" s="32" t="s">
        <v>47</v>
      </c>
      <c r="D2" s="33" t="s">
        <v>48</v>
      </c>
      <c r="E2" s="33" t="s">
        <v>49</v>
      </c>
      <c r="F2" s="32" t="s">
        <v>50</v>
      </c>
      <c r="G2" s="32" t="s">
        <v>51</v>
      </c>
      <c r="H2" s="32" t="s">
        <v>77</v>
      </c>
      <c r="I2" s="33" t="s">
        <v>52</v>
      </c>
      <c r="J2" s="35" t="s">
        <v>78</v>
      </c>
      <c r="K2" s="34" t="s">
        <v>53</v>
      </c>
      <c r="L2" s="34" t="s">
        <v>79</v>
      </c>
    </row>
    <row r="3" spans="2:12" ht="16.5" x14ac:dyDescent="0.25">
      <c r="B3" s="22">
        <v>1</v>
      </c>
      <c r="C3" s="23" t="s">
        <v>54</v>
      </c>
      <c r="D3" s="22" t="s">
        <v>69</v>
      </c>
      <c r="E3" s="28" t="s">
        <v>74</v>
      </c>
      <c r="F3" s="29">
        <v>120000</v>
      </c>
      <c r="G3" s="30">
        <v>25</v>
      </c>
      <c r="H3" s="64">
        <f ca="1">YEAR(TODAY())-YEAR(E3)</f>
        <v>58</v>
      </c>
      <c r="I3" s="30">
        <f>F3*G3</f>
        <v>3000000</v>
      </c>
      <c r="J3" s="60">
        <f>IF(D3="GĐ",500000,IF(D3="PGĐ",400000,IF(D3="TP",300000,IF(D3="PP",200000,100000))))</f>
        <v>300000</v>
      </c>
      <c r="K3" s="61">
        <f t="shared" ref="K3:K17" si="0">80%*I3</f>
        <v>2400000</v>
      </c>
      <c r="L3" s="61">
        <f>I3+J3-K3</f>
        <v>900000</v>
      </c>
    </row>
    <row r="4" spans="2:12" ht="16.5" x14ac:dyDescent="0.25">
      <c r="B4" s="22">
        <v>2</v>
      </c>
      <c r="C4" s="23" t="s">
        <v>55</v>
      </c>
      <c r="D4" s="22" t="s">
        <v>70</v>
      </c>
      <c r="E4" s="28">
        <v>27659</v>
      </c>
      <c r="F4" s="29">
        <v>160000</v>
      </c>
      <c r="G4" s="31">
        <v>24</v>
      </c>
      <c r="H4" s="64">
        <f t="shared" ref="H4:H17" ca="1" si="1">YEAR(TODAY())-YEAR(E4)</f>
        <v>50</v>
      </c>
      <c r="I4" s="30">
        <f t="shared" ref="I4:I17" si="2">F4*G4</f>
        <v>3840000</v>
      </c>
      <c r="J4" s="60">
        <f t="shared" ref="J4:J17" si="3">IF(D4="GĐ",500000,IF(D4="PGĐ",400000,IF(D4="TP",300000,IF(D4="PP",200000,100000))))</f>
        <v>100000</v>
      </c>
      <c r="K4" s="61">
        <f t="shared" si="0"/>
        <v>3072000</v>
      </c>
      <c r="L4" s="61">
        <f t="shared" ref="L4:L17" si="4">I4+J4-K4</f>
        <v>868000</v>
      </c>
    </row>
    <row r="5" spans="2:12" ht="16.5" x14ac:dyDescent="0.25">
      <c r="B5" s="22">
        <v>3</v>
      </c>
      <c r="C5" s="23" t="s">
        <v>56</v>
      </c>
      <c r="D5" s="22" t="s">
        <v>71</v>
      </c>
      <c r="E5" s="28">
        <v>24972</v>
      </c>
      <c r="F5" s="29">
        <v>150000</v>
      </c>
      <c r="G5" s="30">
        <v>26</v>
      </c>
      <c r="H5" s="64">
        <f t="shared" ca="1" si="1"/>
        <v>57</v>
      </c>
      <c r="I5" s="30">
        <f t="shared" si="2"/>
        <v>3900000</v>
      </c>
      <c r="J5" s="60">
        <f t="shared" si="3"/>
        <v>200000</v>
      </c>
      <c r="K5" s="61">
        <f t="shared" si="0"/>
        <v>3120000</v>
      </c>
      <c r="L5" s="61">
        <f t="shared" si="4"/>
        <v>980000</v>
      </c>
    </row>
    <row r="6" spans="2:12" ht="16.5" x14ac:dyDescent="0.25">
      <c r="B6" s="22">
        <v>4</v>
      </c>
      <c r="C6" s="23" t="s">
        <v>57</v>
      </c>
      <c r="D6" s="22" t="s">
        <v>70</v>
      </c>
      <c r="E6" s="28">
        <v>21231</v>
      </c>
      <c r="F6" s="29">
        <v>130000</v>
      </c>
      <c r="G6" s="30">
        <v>20</v>
      </c>
      <c r="H6" s="64">
        <f t="shared" ca="1" si="1"/>
        <v>67</v>
      </c>
      <c r="I6" s="30">
        <f t="shared" si="2"/>
        <v>2600000</v>
      </c>
      <c r="J6" s="60">
        <f t="shared" si="3"/>
        <v>100000</v>
      </c>
      <c r="K6" s="61">
        <f t="shared" si="0"/>
        <v>2080000</v>
      </c>
      <c r="L6" s="61">
        <f t="shared" si="4"/>
        <v>620000</v>
      </c>
    </row>
    <row r="7" spans="2:12" ht="16.5" x14ac:dyDescent="0.25">
      <c r="B7" s="22">
        <v>5</v>
      </c>
      <c r="C7" s="23" t="s">
        <v>58</v>
      </c>
      <c r="D7" s="22" t="s">
        <v>72</v>
      </c>
      <c r="E7" s="28">
        <v>28728</v>
      </c>
      <c r="F7" s="29">
        <v>180000</v>
      </c>
      <c r="G7" s="30">
        <v>23</v>
      </c>
      <c r="H7" s="64">
        <f t="shared" ca="1" si="1"/>
        <v>47</v>
      </c>
      <c r="I7" s="30">
        <f t="shared" si="2"/>
        <v>4140000</v>
      </c>
      <c r="J7" s="60">
        <f t="shared" si="3"/>
        <v>100000</v>
      </c>
      <c r="K7" s="61">
        <f t="shared" si="0"/>
        <v>3312000</v>
      </c>
      <c r="L7" s="61">
        <f t="shared" si="4"/>
        <v>928000</v>
      </c>
    </row>
    <row r="8" spans="2:12" ht="16.5" x14ac:dyDescent="0.25">
      <c r="B8" s="22">
        <v>6</v>
      </c>
      <c r="C8" s="23" t="s">
        <v>59</v>
      </c>
      <c r="D8" s="22" t="s">
        <v>73</v>
      </c>
      <c r="E8" s="28">
        <v>25432</v>
      </c>
      <c r="F8" s="29">
        <v>150000</v>
      </c>
      <c r="G8" s="30">
        <v>24</v>
      </c>
      <c r="H8" s="64">
        <f t="shared" ca="1" si="1"/>
        <v>56</v>
      </c>
      <c r="I8" s="30">
        <f t="shared" si="2"/>
        <v>3600000</v>
      </c>
      <c r="J8" s="60">
        <f t="shared" si="3"/>
        <v>100000</v>
      </c>
      <c r="K8" s="61">
        <f t="shared" si="0"/>
        <v>2880000</v>
      </c>
      <c r="L8" s="61">
        <f t="shared" si="4"/>
        <v>820000</v>
      </c>
    </row>
    <row r="9" spans="2:12" ht="16.5" x14ac:dyDescent="0.25">
      <c r="B9" s="22">
        <v>7</v>
      </c>
      <c r="C9" s="23" t="s">
        <v>60</v>
      </c>
      <c r="D9" s="22" t="s">
        <v>71</v>
      </c>
      <c r="E9" s="28">
        <v>25430</v>
      </c>
      <c r="F9" s="29">
        <v>140000</v>
      </c>
      <c r="G9" s="30">
        <v>27</v>
      </c>
      <c r="H9" s="64">
        <f t="shared" ca="1" si="1"/>
        <v>56</v>
      </c>
      <c r="I9" s="30">
        <f t="shared" si="2"/>
        <v>3780000</v>
      </c>
      <c r="J9" s="60">
        <f t="shared" si="3"/>
        <v>200000</v>
      </c>
      <c r="K9" s="61">
        <f t="shared" si="0"/>
        <v>3024000</v>
      </c>
      <c r="L9" s="61">
        <f t="shared" si="4"/>
        <v>956000</v>
      </c>
    </row>
    <row r="10" spans="2:12" ht="16.5" x14ac:dyDescent="0.25">
      <c r="B10" s="22">
        <v>8</v>
      </c>
      <c r="C10" s="23" t="s">
        <v>61</v>
      </c>
      <c r="D10" s="22" t="s">
        <v>81</v>
      </c>
      <c r="E10" s="28">
        <v>20796</v>
      </c>
      <c r="F10" s="29">
        <v>160000</v>
      </c>
      <c r="G10" s="30">
        <v>14</v>
      </c>
      <c r="H10" s="64">
        <f t="shared" ca="1" si="1"/>
        <v>69</v>
      </c>
      <c r="I10" s="30">
        <f t="shared" si="2"/>
        <v>2240000</v>
      </c>
      <c r="J10" s="60">
        <f t="shared" si="3"/>
        <v>500000</v>
      </c>
      <c r="K10" s="61">
        <f t="shared" si="0"/>
        <v>1792000</v>
      </c>
      <c r="L10" s="61">
        <f t="shared" si="4"/>
        <v>948000</v>
      </c>
    </row>
    <row r="11" spans="2:12" ht="16.5" x14ac:dyDescent="0.25">
      <c r="B11" s="22">
        <v>9</v>
      </c>
      <c r="C11" s="23" t="s">
        <v>62</v>
      </c>
      <c r="D11" s="22" t="s">
        <v>73</v>
      </c>
      <c r="E11" s="28">
        <v>22194</v>
      </c>
      <c r="F11" s="29">
        <v>150000</v>
      </c>
      <c r="G11" s="30">
        <v>17</v>
      </c>
      <c r="H11" s="64">
        <f t="shared" ca="1" si="1"/>
        <v>65</v>
      </c>
      <c r="I11" s="30">
        <f t="shared" si="2"/>
        <v>2550000</v>
      </c>
      <c r="J11" s="60">
        <f t="shared" si="3"/>
        <v>100000</v>
      </c>
      <c r="K11" s="61">
        <f t="shared" si="0"/>
        <v>2040000</v>
      </c>
      <c r="L11" s="61">
        <f t="shared" si="4"/>
        <v>610000</v>
      </c>
    </row>
    <row r="12" spans="2:12" ht="16.5" x14ac:dyDescent="0.25">
      <c r="B12" s="22">
        <v>10</v>
      </c>
      <c r="C12" s="23" t="s">
        <v>63</v>
      </c>
      <c r="D12" s="22" t="s">
        <v>70</v>
      </c>
      <c r="E12" s="28">
        <v>19859</v>
      </c>
      <c r="F12" s="29">
        <v>130000</v>
      </c>
      <c r="G12" s="30">
        <v>23</v>
      </c>
      <c r="H12" s="64">
        <f t="shared" ca="1" si="1"/>
        <v>71</v>
      </c>
      <c r="I12" s="30">
        <f t="shared" si="2"/>
        <v>2990000</v>
      </c>
      <c r="J12" s="60">
        <f t="shared" si="3"/>
        <v>100000</v>
      </c>
      <c r="K12" s="61">
        <f t="shared" si="0"/>
        <v>2392000</v>
      </c>
      <c r="L12" s="61">
        <f t="shared" si="4"/>
        <v>698000</v>
      </c>
    </row>
    <row r="13" spans="2:12" ht="16.5" x14ac:dyDescent="0.25">
      <c r="B13" s="22">
        <v>11</v>
      </c>
      <c r="C13" s="23" t="s">
        <v>64</v>
      </c>
      <c r="D13" s="22" t="s">
        <v>69</v>
      </c>
      <c r="E13" s="28">
        <v>24731</v>
      </c>
      <c r="F13" s="29">
        <v>180000</v>
      </c>
      <c r="G13" s="30">
        <v>22</v>
      </c>
      <c r="H13" s="64">
        <f t="shared" ca="1" si="1"/>
        <v>58</v>
      </c>
      <c r="I13" s="30">
        <f t="shared" si="2"/>
        <v>3960000</v>
      </c>
      <c r="J13" s="60">
        <f t="shared" si="3"/>
        <v>300000</v>
      </c>
      <c r="K13" s="61">
        <f t="shared" si="0"/>
        <v>3168000</v>
      </c>
      <c r="L13" s="61">
        <f t="shared" si="4"/>
        <v>1092000</v>
      </c>
    </row>
    <row r="14" spans="2:12" ht="16.5" x14ac:dyDescent="0.25">
      <c r="B14" s="22">
        <v>12</v>
      </c>
      <c r="C14" s="23" t="s">
        <v>65</v>
      </c>
      <c r="D14" s="22" t="s">
        <v>70</v>
      </c>
      <c r="E14" s="28">
        <v>25465</v>
      </c>
      <c r="F14" s="29">
        <v>150000</v>
      </c>
      <c r="G14" s="30">
        <v>14</v>
      </c>
      <c r="H14" s="64">
        <f t="shared" ca="1" si="1"/>
        <v>56</v>
      </c>
      <c r="I14" s="30">
        <f t="shared" si="2"/>
        <v>2100000</v>
      </c>
      <c r="J14" s="60">
        <f t="shared" si="3"/>
        <v>100000</v>
      </c>
      <c r="K14" s="61">
        <f t="shared" si="0"/>
        <v>1680000</v>
      </c>
      <c r="L14" s="61">
        <f t="shared" si="4"/>
        <v>520000</v>
      </c>
    </row>
    <row r="15" spans="2:12" ht="16.5" x14ac:dyDescent="0.25">
      <c r="B15" s="22">
        <v>13</v>
      </c>
      <c r="C15" s="23" t="s">
        <v>66</v>
      </c>
      <c r="D15" s="22" t="s">
        <v>80</v>
      </c>
      <c r="E15" s="28">
        <v>19977</v>
      </c>
      <c r="F15" s="29">
        <v>180000</v>
      </c>
      <c r="G15" s="30">
        <v>23</v>
      </c>
      <c r="H15" s="64">
        <f t="shared" ca="1" si="1"/>
        <v>71</v>
      </c>
      <c r="I15" s="30">
        <f t="shared" si="2"/>
        <v>4140000</v>
      </c>
      <c r="J15" s="60">
        <f t="shared" si="3"/>
        <v>400000</v>
      </c>
      <c r="K15" s="61">
        <f t="shared" si="0"/>
        <v>3312000</v>
      </c>
      <c r="L15" s="61">
        <f t="shared" si="4"/>
        <v>1228000</v>
      </c>
    </row>
    <row r="16" spans="2:12" ht="16.5" x14ac:dyDescent="0.25">
      <c r="B16" s="22">
        <v>14</v>
      </c>
      <c r="C16" s="23" t="s">
        <v>67</v>
      </c>
      <c r="D16" s="22" t="s">
        <v>69</v>
      </c>
      <c r="E16" s="28">
        <v>19983</v>
      </c>
      <c r="F16" s="29">
        <v>160000</v>
      </c>
      <c r="G16" s="30">
        <v>27</v>
      </c>
      <c r="H16" s="64">
        <f t="shared" ca="1" si="1"/>
        <v>71</v>
      </c>
      <c r="I16" s="30">
        <f t="shared" si="2"/>
        <v>4320000</v>
      </c>
      <c r="J16" s="60">
        <f t="shared" si="3"/>
        <v>300000</v>
      </c>
      <c r="K16" s="61">
        <f t="shared" si="0"/>
        <v>3456000</v>
      </c>
      <c r="L16" s="61">
        <f t="shared" si="4"/>
        <v>1164000</v>
      </c>
    </row>
    <row r="17" spans="2:13" ht="16.5" x14ac:dyDescent="0.25">
      <c r="B17" s="22">
        <v>15</v>
      </c>
      <c r="C17" s="23" t="s">
        <v>68</v>
      </c>
      <c r="D17" s="22" t="s">
        <v>73</v>
      </c>
      <c r="E17" s="28">
        <v>25074</v>
      </c>
      <c r="F17" s="29">
        <v>130000</v>
      </c>
      <c r="G17" s="30">
        <v>26</v>
      </c>
      <c r="H17" s="64">
        <f t="shared" ca="1" si="1"/>
        <v>57</v>
      </c>
      <c r="I17" s="30">
        <f t="shared" si="2"/>
        <v>3380000</v>
      </c>
      <c r="J17" s="60">
        <f t="shared" si="3"/>
        <v>100000</v>
      </c>
      <c r="K17" s="61">
        <f t="shared" si="0"/>
        <v>2704000</v>
      </c>
      <c r="L17" s="61">
        <f t="shared" si="4"/>
        <v>776000</v>
      </c>
    </row>
    <row r="18" spans="2:13" ht="17.25" x14ac:dyDescent="0.25">
      <c r="B18" s="56" t="s">
        <v>75</v>
      </c>
      <c r="C18" s="57"/>
      <c r="D18" s="57"/>
      <c r="E18" s="57"/>
      <c r="F18" s="57"/>
      <c r="G18" s="58"/>
      <c r="H18" s="62">
        <f ca="1">SUM(H3:H17)</f>
        <v>909</v>
      </c>
      <c r="I18" s="62">
        <f t="shared" ref="I18:L18" si="5">SUM(I3:I17)</f>
        <v>50540000</v>
      </c>
      <c r="J18" s="62">
        <f t="shared" si="5"/>
        <v>3000000</v>
      </c>
      <c r="K18" s="62">
        <f t="shared" si="5"/>
        <v>40432000</v>
      </c>
      <c r="L18" s="62">
        <f t="shared" si="5"/>
        <v>13108000</v>
      </c>
    </row>
    <row r="19" spans="2:13" ht="17.25" x14ac:dyDescent="0.25">
      <c r="B19" s="56" t="s">
        <v>76</v>
      </c>
      <c r="C19" s="57"/>
      <c r="D19" s="57"/>
      <c r="E19" s="57"/>
      <c r="F19" s="57"/>
      <c r="G19" s="58"/>
      <c r="H19" s="65">
        <f ca="1">AVERAGE(H3:H17)</f>
        <v>60.6</v>
      </c>
      <c r="I19" s="62">
        <f t="shared" ref="I19:L19" si="6">AVERAGE(I3:I17)</f>
        <v>3369333.3333333335</v>
      </c>
      <c r="J19" s="62">
        <f>AVERAGE(J3:J17)</f>
        <v>200000</v>
      </c>
      <c r="K19" s="62">
        <f t="shared" si="6"/>
        <v>2695466.6666666665</v>
      </c>
      <c r="L19" s="62">
        <f t="shared" si="6"/>
        <v>873866.66666666663</v>
      </c>
    </row>
    <row r="20" spans="2:13" ht="17.25" x14ac:dyDescent="0.25">
      <c r="B20" s="56" t="s">
        <v>26</v>
      </c>
      <c r="C20" s="57"/>
      <c r="D20" s="57"/>
      <c r="E20" s="57"/>
      <c r="F20" s="57"/>
      <c r="G20" s="58"/>
      <c r="H20" s="62">
        <f ca="1">MAX(H3:H17)</f>
        <v>71</v>
      </c>
      <c r="I20" s="62">
        <f t="shared" ref="I20:L20" si="7">MAX(I3:I17)</f>
        <v>4320000</v>
      </c>
      <c r="J20" s="62">
        <f t="shared" si="7"/>
        <v>500000</v>
      </c>
      <c r="K20" s="62">
        <f t="shared" si="7"/>
        <v>3456000</v>
      </c>
      <c r="L20" s="62">
        <f t="shared" si="7"/>
        <v>1228000</v>
      </c>
      <c r="M20" s="36"/>
    </row>
    <row r="21" spans="2:13" ht="17.25" x14ac:dyDescent="0.25">
      <c r="B21" s="56" t="s">
        <v>27</v>
      </c>
      <c r="C21" s="57"/>
      <c r="D21" s="57"/>
      <c r="E21" s="57"/>
      <c r="F21" s="57"/>
      <c r="G21" s="58"/>
      <c r="H21" s="63">
        <f ca="1">MIN(H3:H17)</f>
        <v>47</v>
      </c>
      <c r="I21" s="63">
        <f t="shared" ref="I21:L21" si="8">MIN(I3:I17)</f>
        <v>2100000</v>
      </c>
      <c r="J21" s="63">
        <f t="shared" si="8"/>
        <v>100000</v>
      </c>
      <c r="K21" s="63">
        <f t="shared" si="8"/>
        <v>1680000</v>
      </c>
      <c r="L21" s="63">
        <f t="shared" si="8"/>
        <v>520000</v>
      </c>
    </row>
  </sheetData>
  <mergeCells count="4">
    <mergeCell ref="B18:G18"/>
    <mergeCell ref="B19:G19"/>
    <mergeCell ref="B20:G20"/>
    <mergeCell ref="B21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3319-A064-4D57-8367-0A87202117F6}">
  <dimension ref="C3:R27"/>
  <sheetViews>
    <sheetView tabSelected="1" topLeftCell="A16" workbookViewId="0">
      <selection activeCell="R25" sqref="R25"/>
    </sheetView>
  </sheetViews>
  <sheetFormatPr defaultRowHeight="15" x14ac:dyDescent="0.25"/>
  <cols>
    <col min="3" max="3" width="5.28515625" customWidth="1"/>
    <col min="4" max="4" width="9.28515625" customWidth="1"/>
    <col min="5" max="5" width="19.7109375" customWidth="1"/>
    <col min="6" max="6" width="8.140625" customWidth="1"/>
    <col min="7" max="7" width="7.28515625" customWidth="1"/>
    <col min="8" max="8" width="8.28515625" customWidth="1"/>
    <col min="9" max="9" width="10.7109375" customWidth="1"/>
    <col min="10" max="10" width="10.140625" customWidth="1"/>
    <col min="11" max="12" width="11" customWidth="1"/>
    <col min="13" max="13" width="9.7109375" customWidth="1"/>
    <col min="14" max="14" width="11" customWidth="1"/>
    <col min="15" max="15" width="10.28515625" customWidth="1"/>
  </cols>
  <sheetData>
    <row r="3" spans="3:12" ht="30" customHeight="1" x14ac:dyDescent="0.25">
      <c r="C3" s="73" t="s">
        <v>1</v>
      </c>
      <c r="D3" s="74" t="s">
        <v>82</v>
      </c>
      <c r="E3" s="74" t="s">
        <v>83</v>
      </c>
      <c r="F3" s="74" t="s">
        <v>84</v>
      </c>
      <c r="G3" s="85" t="s">
        <v>85</v>
      </c>
      <c r="H3" s="74" t="s">
        <v>86</v>
      </c>
      <c r="I3" s="74" t="s">
        <v>87</v>
      </c>
      <c r="J3" s="74" t="s">
        <v>88</v>
      </c>
      <c r="K3" s="74" t="s">
        <v>89</v>
      </c>
      <c r="L3" s="74" t="s">
        <v>90</v>
      </c>
    </row>
    <row r="4" spans="3:12" x14ac:dyDescent="0.25">
      <c r="C4" s="75">
        <v>1</v>
      </c>
      <c r="D4" s="66" t="s">
        <v>92</v>
      </c>
      <c r="E4" s="1" t="s">
        <v>104</v>
      </c>
      <c r="F4" s="83">
        <f>VLOOKUP(LEFT(D4,2),$D$15:$J$20,5,0)</f>
        <v>300</v>
      </c>
      <c r="G4" s="4">
        <f>VLOOKUP(LEFT(D4,2),$D$15:$J$19,6,0)</f>
        <v>130</v>
      </c>
      <c r="H4" s="84">
        <f>F4*G4</f>
        <v>39000</v>
      </c>
      <c r="I4" s="66">
        <f>IF(MID(D4,4,1)="A",F4+15,IF(MID(D4,4,1)="B",F4+12,F4+10))</f>
        <v>315</v>
      </c>
      <c r="J4" s="66">
        <f>VLOOKUP(LEFT(D4,2),$D$15:$J$19,7,0)</f>
        <v>100</v>
      </c>
      <c r="K4" s="66">
        <f>I4*J4</f>
        <v>31500</v>
      </c>
      <c r="L4" s="66" t="str">
        <f>IF(G4-J4&gt;=60,"Bán chậm",IF(G4-J4&gt;=30,"Bán được","Bán chạy"))</f>
        <v>Bán được</v>
      </c>
    </row>
    <row r="5" spans="3:12" x14ac:dyDescent="0.25">
      <c r="C5" s="75">
        <v>2</v>
      </c>
      <c r="D5" s="66" t="s">
        <v>93</v>
      </c>
      <c r="E5" s="1" t="s">
        <v>104</v>
      </c>
      <c r="F5" s="83">
        <f t="shared" ref="F5:F11" si="0">VLOOKUP(LEFT(D5,2),$D$15:$J$20,5,0)</f>
        <v>300</v>
      </c>
      <c r="G5" s="4">
        <f t="shared" ref="G5:G11" si="1">VLOOKUP(LEFT(D5,2),$D$15:$J$19,6,0)</f>
        <v>130</v>
      </c>
      <c r="H5" s="84">
        <f t="shared" ref="H5:H11" si="2">F5*G5</f>
        <v>39000</v>
      </c>
      <c r="I5" s="66">
        <f t="shared" ref="I5:I11" si="3">IF(MID(D5,4,1)="A",F5+15,IF(MID(D5,4,1)="B",F5+12,F5+10))</f>
        <v>310</v>
      </c>
      <c r="J5" s="66">
        <f t="shared" ref="J5:J11" si="4">VLOOKUP(LEFT(D5,2),$D$15:$J$19,7,0)</f>
        <v>100</v>
      </c>
      <c r="K5" s="66">
        <f t="shared" ref="K5:K11" si="5">I5*J5</f>
        <v>31000</v>
      </c>
      <c r="L5" s="66" t="str">
        <f t="shared" ref="L5:L11" si="6">IF(G5-J5&gt;=60,"Bán chậm",IF(G5-J5&gt;=30,"Bán được","Bán chạy"))</f>
        <v>Bán được</v>
      </c>
    </row>
    <row r="6" spans="3:12" x14ac:dyDescent="0.25">
      <c r="C6" s="75">
        <v>3</v>
      </c>
      <c r="D6" s="66" t="s">
        <v>98</v>
      </c>
      <c r="E6" s="1" t="s">
        <v>106</v>
      </c>
      <c r="F6" s="83">
        <f t="shared" si="0"/>
        <v>210</v>
      </c>
      <c r="G6" s="4">
        <f t="shared" si="1"/>
        <v>126</v>
      </c>
      <c r="H6" s="84">
        <f t="shared" si="2"/>
        <v>26460</v>
      </c>
      <c r="I6" s="66">
        <f>IF(MID(D6,4,1)="A",F6+15,IF(MID(D6,4,1)="B",F6+12,F6+10))</f>
        <v>222</v>
      </c>
      <c r="J6" s="66">
        <f t="shared" si="4"/>
        <v>85</v>
      </c>
      <c r="K6" s="66">
        <f t="shared" si="5"/>
        <v>18870</v>
      </c>
      <c r="L6" s="66" t="str">
        <f t="shared" si="6"/>
        <v>Bán được</v>
      </c>
    </row>
    <row r="7" spans="3:12" x14ac:dyDescent="0.25">
      <c r="C7" s="75">
        <v>4</v>
      </c>
      <c r="D7" s="66" t="s">
        <v>94</v>
      </c>
      <c r="E7" s="1" t="s">
        <v>105</v>
      </c>
      <c r="F7" s="83">
        <f t="shared" si="0"/>
        <v>250</v>
      </c>
      <c r="G7" s="4">
        <f t="shared" si="1"/>
        <v>90</v>
      </c>
      <c r="H7" s="84">
        <f t="shared" si="2"/>
        <v>22500</v>
      </c>
      <c r="I7" s="66">
        <f t="shared" si="3"/>
        <v>260</v>
      </c>
      <c r="J7" s="66">
        <f t="shared" si="4"/>
        <v>60</v>
      </c>
      <c r="K7" s="66">
        <f t="shared" si="5"/>
        <v>15600</v>
      </c>
      <c r="L7" s="66" t="str">
        <f t="shared" si="6"/>
        <v>Bán được</v>
      </c>
    </row>
    <row r="8" spans="3:12" x14ac:dyDescent="0.25">
      <c r="C8" s="75">
        <v>5</v>
      </c>
      <c r="D8" s="66" t="s">
        <v>95</v>
      </c>
      <c r="E8" s="1" t="s">
        <v>107</v>
      </c>
      <c r="F8" s="83">
        <f t="shared" si="0"/>
        <v>220</v>
      </c>
      <c r="G8" s="4">
        <f t="shared" si="1"/>
        <v>70</v>
      </c>
      <c r="H8" s="84">
        <f t="shared" si="2"/>
        <v>15400</v>
      </c>
      <c r="I8" s="66">
        <f t="shared" si="3"/>
        <v>230</v>
      </c>
      <c r="J8" s="66">
        <f t="shared" si="4"/>
        <v>30</v>
      </c>
      <c r="K8" s="66">
        <f t="shared" si="5"/>
        <v>6900</v>
      </c>
      <c r="L8" s="66" t="str">
        <f t="shared" si="6"/>
        <v>Bán được</v>
      </c>
    </row>
    <row r="9" spans="3:12" x14ac:dyDescent="0.25">
      <c r="C9" s="75">
        <v>6</v>
      </c>
      <c r="D9" s="66" t="s">
        <v>96</v>
      </c>
      <c r="E9" s="1" t="s">
        <v>107</v>
      </c>
      <c r="F9" s="83">
        <f t="shared" si="0"/>
        <v>220</v>
      </c>
      <c r="G9" s="4">
        <f t="shared" si="1"/>
        <v>70</v>
      </c>
      <c r="H9" s="84">
        <f t="shared" si="2"/>
        <v>15400</v>
      </c>
      <c r="I9" s="66">
        <f t="shared" si="3"/>
        <v>235</v>
      </c>
      <c r="J9" s="66">
        <f t="shared" si="4"/>
        <v>30</v>
      </c>
      <c r="K9" s="66">
        <f t="shared" si="5"/>
        <v>7050</v>
      </c>
      <c r="L9" s="66" t="str">
        <f t="shared" si="6"/>
        <v>Bán được</v>
      </c>
    </row>
    <row r="10" spans="3:12" x14ac:dyDescent="0.25">
      <c r="C10" s="75">
        <v>7</v>
      </c>
      <c r="D10" s="66" t="s">
        <v>97</v>
      </c>
      <c r="E10" s="1" t="s">
        <v>105</v>
      </c>
      <c r="F10" s="83">
        <f t="shared" si="0"/>
        <v>250</v>
      </c>
      <c r="G10" s="4">
        <f t="shared" si="1"/>
        <v>90</v>
      </c>
      <c r="H10" s="84">
        <f t="shared" si="2"/>
        <v>22500</v>
      </c>
      <c r="I10" s="66">
        <f t="shared" si="3"/>
        <v>262</v>
      </c>
      <c r="J10" s="66">
        <f t="shared" si="4"/>
        <v>60</v>
      </c>
      <c r="K10" s="66">
        <f t="shared" si="5"/>
        <v>15720</v>
      </c>
      <c r="L10" s="66" t="str">
        <f t="shared" si="6"/>
        <v>Bán được</v>
      </c>
    </row>
    <row r="11" spans="3:12" x14ac:dyDescent="0.25">
      <c r="C11" s="75">
        <v>8</v>
      </c>
      <c r="D11" s="66" t="s">
        <v>98</v>
      </c>
      <c r="E11" s="1" t="s">
        <v>106</v>
      </c>
      <c r="F11" s="83">
        <f t="shared" si="0"/>
        <v>210</v>
      </c>
      <c r="G11" s="4">
        <f t="shared" si="1"/>
        <v>126</v>
      </c>
      <c r="H11" s="84">
        <f t="shared" si="2"/>
        <v>26460</v>
      </c>
      <c r="I11" s="66">
        <f t="shared" si="3"/>
        <v>222</v>
      </c>
      <c r="J11" s="66">
        <f t="shared" si="4"/>
        <v>85</v>
      </c>
      <c r="K11" s="66">
        <f t="shared" si="5"/>
        <v>18870</v>
      </c>
      <c r="L11" s="66" t="str">
        <f t="shared" si="6"/>
        <v>Bán được</v>
      </c>
    </row>
    <row r="12" spans="3:12" x14ac:dyDescent="0.25">
      <c r="C12" s="72" t="s">
        <v>91</v>
      </c>
      <c r="D12" s="67"/>
      <c r="E12" s="68"/>
      <c r="F12" s="83">
        <f>SUM(F4:F11)</f>
        <v>1960</v>
      </c>
      <c r="G12" s="83">
        <f t="shared" ref="G12:K12" si="7">SUM(G4:G11)</f>
        <v>832</v>
      </c>
      <c r="H12" s="83">
        <f t="shared" si="7"/>
        <v>206720</v>
      </c>
      <c r="I12" s="83">
        <f>SUM(I4:I11)</f>
        <v>2056</v>
      </c>
      <c r="J12" s="83">
        <f t="shared" si="7"/>
        <v>550</v>
      </c>
      <c r="K12" s="83">
        <f>SUM(K4:K11)</f>
        <v>145510</v>
      </c>
      <c r="L12" s="66"/>
    </row>
    <row r="13" spans="3:12" x14ac:dyDescent="0.25">
      <c r="C13" s="69"/>
      <c r="D13" s="76" t="s">
        <v>99</v>
      </c>
      <c r="E13" s="70"/>
      <c r="F13" s="70"/>
      <c r="G13" s="86"/>
      <c r="H13" s="70"/>
      <c r="I13" s="69"/>
      <c r="J13" s="69"/>
      <c r="K13" s="69"/>
      <c r="L13" s="69"/>
    </row>
    <row r="14" spans="3:12" x14ac:dyDescent="0.25">
      <c r="C14" s="69"/>
      <c r="D14" s="71"/>
      <c r="E14" s="71"/>
      <c r="F14" s="71"/>
      <c r="G14" s="71"/>
      <c r="H14" s="71"/>
      <c r="I14" s="69"/>
      <c r="J14" s="69"/>
      <c r="K14" s="69"/>
      <c r="L14" s="69"/>
    </row>
    <row r="15" spans="3:12" ht="31.5" customHeight="1" x14ac:dyDescent="0.25">
      <c r="C15" s="69"/>
      <c r="D15" s="74" t="s">
        <v>82</v>
      </c>
      <c r="E15" s="80" t="s">
        <v>83</v>
      </c>
      <c r="F15" s="81"/>
      <c r="G15" s="82"/>
      <c r="H15" s="74" t="s">
        <v>84</v>
      </c>
      <c r="I15" s="74" t="s">
        <v>85</v>
      </c>
      <c r="J15" s="74" t="s">
        <v>88</v>
      </c>
      <c r="K15" s="69"/>
      <c r="L15" s="69"/>
    </row>
    <row r="16" spans="3:12" x14ac:dyDescent="0.25">
      <c r="C16" s="69"/>
      <c r="D16" s="66" t="s">
        <v>100</v>
      </c>
      <c r="E16" s="77" t="s">
        <v>104</v>
      </c>
      <c r="F16" s="78"/>
      <c r="G16" s="79"/>
      <c r="H16" s="66">
        <v>300</v>
      </c>
      <c r="I16" s="66">
        <v>130</v>
      </c>
      <c r="J16" s="66">
        <v>100</v>
      </c>
      <c r="K16" s="69"/>
      <c r="L16" s="69"/>
    </row>
    <row r="17" spans="3:18" x14ac:dyDescent="0.25">
      <c r="C17" s="69"/>
      <c r="D17" s="66" t="s">
        <v>101</v>
      </c>
      <c r="E17" s="77" t="s">
        <v>105</v>
      </c>
      <c r="F17" s="78"/>
      <c r="G17" s="79"/>
      <c r="H17" s="66">
        <v>250</v>
      </c>
      <c r="I17" s="66">
        <v>90</v>
      </c>
      <c r="J17" s="66">
        <v>60</v>
      </c>
      <c r="K17" s="69"/>
      <c r="L17" s="69"/>
    </row>
    <row r="18" spans="3:18" x14ac:dyDescent="0.25">
      <c r="C18" s="69"/>
      <c r="D18" s="66" t="s">
        <v>102</v>
      </c>
      <c r="E18" s="77" t="s">
        <v>106</v>
      </c>
      <c r="F18" s="78"/>
      <c r="G18" s="79"/>
      <c r="H18" s="66">
        <v>210</v>
      </c>
      <c r="I18" s="66">
        <v>126</v>
      </c>
      <c r="J18" s="66">
        <v>85</v>
      </c>
      <c r="K18" s="69"/>
      <c r="L18" s="69"/>
    </row>
    <row r="19" spans="3:18" x14ac:dyDescent="0.25">
      <c r="C19" s="69"/>
      <c r="D19" s="66" t="s">
        <v>103</v>
      </c>
      <c r="E19" s="77" t="s">
        <v>107</v>
      </c>
      <c r="F19" s="78"/>
      <c r="G19" s="79"/>
      <c r="H19" s="66">
        <v>220</v>
      </c>
      <c r="I19" s="66">
        <v>70</v>
      </c>
      <c r="J19" s="66">
        <v>30</v>
      </c>
      <c r="K19" s="69"/>
      <c r="L19" s="69"/>
    </row>
    <row r="23" spans="3:18" ht="27.75" customHeight="1" x14ac:dyDescent="0.25">
      <c r="D23" s="88" t="s">
        <v>108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90"/>
    </row>
    <row r="24" spans="3:18" ht="39.75" customHeight="1" x14ac:dyDescent="0.25">
      <c r="D24" s="92" t="s">
        <v>1</v>
      </c>
      <c r="E24" s="92" t="s">
        <v>82</v>
      </c>
      <c r="F24" s="93" t="s">
        <v>83</v>
      </c>
      <c r="G24" s="93"/>
      <c r="H24" s="93"/>
      <c r="I24" s="94" t="s">
        <v>84</v>
      </c>
      <c r="J24" s="94" t="s">
        <v>85</v>
      </c>
      <c r="K24" s="94" t="s">
        <v>86</v>
      </c>
      <c r="L24" s="94" t="s">
        <v>87</v>
      </c>
      <c r="M24" s="94" t="s">
        <v>88</v>
      </c>
      <c r="N24" s="94" t="s">
        <v>89</v>
      </c>
      <c r="O24" s="94" t="s">
        <v>90</v>
      </c>
    </row>
    <row r="25" spans="3:18" ht="15.75" x14ac:dyDescent="0.25">
      <c r="D25" s="14">
        <v>1</v>
      </c>
      <c r="E25" s="87" t="s">
        <v>92</v>
      </c>
      <c r="F25" s="95" t="s">
        <v>104</v>
      </c>
      <c r="G25" s="95"/>
      <c r="H25" s="95"/>
      <c r="I25" s="87">
        <v>300</v>
      </c>
      <c r="J25" s="87">
        <v>130</v>
      </c>
      <c r="K25" s="87">
        <v>39000</v>
      </c>
      <c r="L25" s="87">
        <v>315</v>
      </c>
      <c r="M25" s="87">
        <v>100</v>
      </c>
      <c r="N25" s="5">
        <v>31500</v>
      </c>
      <c r="O25" s="5" t="s">
        <v>109</v>
      </c>
    </row>
    <row r="26" spans="3:18" ht="15.75" x14ac:dyDescent="0.25">
      <c r="D26" s="14">
        <v>2</v>
      </c>
      <c r="E26" s="87" t="s">
        <v>93</v>
      </c>
      <c r="F26" s="95" t="s">
        <v>104</v>
      </c>
      <c r="G26" s="95"/>
      <c r="H26" s="95"/>
      <c r="I26" s="87">
        <v>300</v>
      </c>
      <c r="J26" s="87">
        <v>130</v>
      </c>
      <c r="K26" s="87">
        <v>39000</v>
      </c>
      <c r="L26" s="87">
        <v>310</v>
      </c>
      <c r="M26" s="87">
        <v>100</v>
      </c>
      <c r="N26" s="5">
        <v>31000</v>
      </c>
      <c r="O26" s="5" t="s">
        <v>109</v>
      </c>
    </row>
    <row r="27" spans="3:18" ht="15.75" x14ac:dyDescent="0.25"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</row>
  </sheetData>
  <mergeCells count="16">
    <mergeCell ref="D23:O23"/>
    <mergeCell ref="F25:H25"/>
    <mergeCell ref="F26:H26"/>
    <mergeCell ref="D27:H27"/>
    <mergeCell ref="I27:M27"/>
    <mergeCell ref="N27:R27"/>
    <mergeCell ref="E16:G16"/>
    <mergeCell ref="E17:G17"/>
    <mergeCell ref="E18:G18"/>
    <mergeCell ref="E19:G19"/>
    <mergeCell ref="F24:H24"/>
    <mergeCell ref="D13:F14"/>
    <mergeCell ref="G13:G14"/>
    <mergeCell ref="H13:H14"/>
    <mergeCell ref="C12:E12"/>
    <mergeCell ref="E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DUNG</dc:creator>
  <cp:lastModifiedBy>PHUONG DUNG</cp:lastModifiedBy>
  <dcterms:created xsi:type="dcterms:W3CDTF">2025-12-19T14:24:58Z</dcterms:created>
  <dcterms:modified xsi:type="dcterms:W3CDTF">2025-12-20T15:42:26Z</dcterms:modified>
</cp:coreProperties>
</file>