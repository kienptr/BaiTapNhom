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E4C99E7-832A-4B90-A7ED-E8C973E2EABD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4" l="1"/>
  <c r="I11" i="4"/>
  <c r="H11" i="4"/>
  <c r="G11" i="4"/>
  <c r="L10" i="4"/>
  <c r="K10" i="4"/>
  <c r="I10" i="4"/>
  <c r="H10" i="4"/>
  <c r="L9" i="4"/>
  <c r="K9" i="4"/>
  <c r="I9" i="4"/>
  <c r="H9" i="4"/>
  <c r="L8" i="4"/>
  <c r="K8" i="4"/>
  <c r="I8" i="4"/>
  <c r="H8" i="4"/>
  <c r="L7" i="4"/>
  <c r="K7" i="4"/>
  <c r="I7" i="4"/>
  <c r="H7" i="4"/>
  <c r="L6" i="4"/>
  <c r="K6" i="4"/>
  <c r="I6" i="4"/>
  <c r="H6" i="4"/>
  <c r="L5" i="4"/>
  <c r="K5" i="4"/>
  <c r="I5" i="4"/>
  <c r="H5" i="4"/>
  <c r="L4" i="4"/>
  <c r="K4" i="4"/>
  <c r="I4" i="4"/>
  <c r="H4" i="4"/>
  <c r="L3" i="4"/>
  <c r="K3" i="4"/>
  <c r="I3" i="4"/>
  <c r="H3" i="4"/>
  <c r="N21" i="3"/>
  <c r="M21" i="3"/>
  <c r="L21" i="3"/>
  <c r="K21" i="3"/>
  <c r="N20" i="3"/>
  <c r="M20" i="3"/>
  <c r="L20" i="3"/>
  <c r="K20" i="3"/>
  <c r="N19" i="3"/>
  <c r="M19" i="3"/>
  <c r="L19" i="3"/>
  <c r="K19" i="3"/>
  <c r="N18" i="3"/>
  <c r="M18" i="3"/>
  <c r="L18" i="3"/>
  <c r="K18" i="3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J21" i="3" s="1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19" i="1"/>
  <c r="I19" i="1"/>
  <c r="H19" i="1"/>
  <c r="G19" i="1"/>
  <c r="J18" i="1"/>
  <c r="I18" i="1"/>
  <c r="H18" i="1"/>
  <c r="G18" i="1"/>
  <c r="J17" i="1"/>
  <c r="I17" i="1"/>
  <c r="H17" i="1"/>
  <c r="G17" i="1"/>
  <c r="K16" i="1"/>
  <c r="J16" i="1"/>
  <c r="M15" i="1"/>
  <c r="K15" i="1"/>
  <c r="J15" i="1"/>
  <c r="M14" i="1"/>
  <c r="K14" i="1"/>
  <c r="J14" i="1"/>
  <c r="M13" i="1"/>
  <c r="K13" i="1"/>
  <c r="J13" i="1"/>
  <c r="M12" i="1"/>
  <c r="K12" i="1"/>
  <c r="J12" i="1"/>
  <c r="M11" i="1"/>
  <c r="K11" i="1"/>
  <c r="J11" i="1"/>
  <c r="M10" i="1"/>
  <c r="K10" i="1"/>
  <c r="J10" i="1"/>
  <c r="M9" i="1"/>
  <c r="K9" i="1"/>
  <c r="J9" i="1"/>
  <c r="M8" i="1"/>
  <c r="K8" i="1"/>
  <c r="J8" i="1"/>
  <c r="M7" i="1"/>
  <c r="K7" i="1"/>
  <c r="J7" i="1"/>
  <c r="M6" i="1"/>
  <c r="K6" i="1"/>
  <c r="J6" i="1"/>
  <c r="M5" i="1"/>
  <c r="K5" i="1"/>
  <c r="J5" i="1"/>
  <c r="J18" i="3" l="1"/>
  <c r="J20" i="3"/>
  <c r="J19" i="3"/>
</calcChain>
</file>

<file path=xl/sharedStrings.xml><?xml version="1.0" encoding="utf-8"?>
<sst xmlns="http://schemas.openxmlformats.org/spreadsheetml/2006/main" count="174" uniqueCount="114">
  <si>
    <r>
      <rPr>
        <b/>
        <u/>
        <sz val="14"/>
        <color theme="1"/>
        <rFont val="Times New Roman"/>
        <charset val="134"/>
      </rPr>
      <t>Bảng tính 1</t>
    </r>
    <r>
      <rPr>
        <sz val="14"/>
        <color theme="1"/>
        <rFont val="Times New Roman"/>
        <charset val="163"/>
      </rPr>
      <t>:</t>
    </r>
  </si>
  <si>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</si>
  <si>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</si>
  <si>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</si>
  <si>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</si>
  <si>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</si>
  <si>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</si>
  <si>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</si>
  <si>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</si>
  <si>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</si>
  <si>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</si>
  <si>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</si>
  <si>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KHEN THƯỞNG</t>
  </si>
  <si>
    <t xml:space="preserve">LÂM </t>
  </si>
  <si>
    <t>NAM</t>
  </si>
  <si>
    <t>HẢI</t>
  </si>
  <si>
    <t xml:space="preserve">HIỆP </t>
  </si>
  <si>
    <t>THẢO</t>
  </si>
  <si>
    <t>NỮ</t>
  </si>
  <si>
    <t>MINH</t>
  </si>
  <si>
    <t xml:space="preserve">HỒNG </t>
  </si>
  <si>
    <t>LINH</t>
  </si>
  <si>
    <t>DIỄM</t>
  </si>
  <si>
    <t xml:space="preserve">NỮ </t>
  </si>
  <si>
    <t>NGA</t>
  </si>
  <si>
    <t xml:space="preserve">KHOA </t>
  </si>
  <si>
    <t>SƠN</t>
  </si>
  <si>
    <t>TRUNG BÌNH</t>
  </si>
  <si>
    <t>CAO NHẤT</t>
  </si>
  <si>
    <t>THẤP NHẤT</t>
  </si>
  <si>
    <t>Bảng tính 2:</t>
  </si>
  <si>
    <t>DANH SÁCH THƯỞNG THÁNG 03</t>
  </si>
  <si>
    <t>HỌ</t>
  </si>
  <si>
    <t>TÊN</t>
  </si>
  <si>
    <t>NGÀY CÔNG</t>
  </si>
  <si>
    <t>THƯỞNG 8-3</t>
  </si>
  <si>
    <t>THƯỞNG A</t>
  </si>
  <si>
    <t>THƯỞNG B</t>
  </si>
  <si>
    <t>TRẦN THANH</t>
  </si>
  <si>
    <t xml:space="preserve">TUẤN </t>
  </si>
  <si>
    <t>PHẠM HÙNG</t>
  </si>
  <si>
    <t xml:space="preserve">CƯỜNG </t>
  </si>
  <si>
    <t>LÊ NGỌC</t>
  </si>
  <si>
    <t>XUÂN</t>
  </si>
  <si>
    <t>PHẠM THANH</t>
  </si>
  <si>
    <t>LONG</t>
  </si>
  <si>
    <t>PHẠM HOÀI</t>
  </si>
  <si>
    <t>LÊ THANH</t>
  </si>
  <si>
    <t>LAN</t>
  </si>
  <si>
    <t>Bảng tính 3: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</si>
  <si>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</si>
  <si>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</si>
  <si>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</si>
  <si>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</si>
  <si>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</si>
  <si>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</si>
  <si>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</si>
  <si>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</si>
  <si>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</si>
  <si>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CÒN LẠI</t>
  </si>
  <si>
    <t xml:space="preserve">Nguyễn Văn Tâm </t>
  </si>
  <si>
    <t>TP</t>
  </si>
  <si>
    <t>Nguyễn Thị Hằng</t>
  </si>
  <si>
    <t>NV</t>
  </si>
  <si>
    <t xml:space="preserve">Ngô Thị Nga </t>
  </si>
  <si>
    <t>PP</t>
  </si>
  <si>
    <t xml:space="preserve">Trần Thiên Thu </t>
  </si>
  <si>
    <t>Lâm Hoàng Cát</t>
  </si>
  <si>
    <t>KT</t>
  </si>
  <si>
    <t>Lê Hoài Sơn</t>
  </si>
  <si>
    <t>BV</t>
  </si>
  <si>
    <t>Lý Lâm</t>
  </si>
  <si>
    <t>Trần Văn Trung</t>
  </si>
  <si>
    <t>GĐ</t>
  </si>
  <si>
    <t>Nguyễn Văn Trang</t>
  </si>
  <si>
    <t xml:space="preserve">Lý Thu Nga </t>
  </si>
  <si>
    <t>Nguyễn Văn Hùng</t>
  </si>
  <si>
    <t>Trần Thị Phượng</t>
  </si>
  <si>
    <t>Võ Tấn Thành</t>
  </si>
  <si>
    <t>PGĐ</t>
  </si>
  <si>
    <t>Lê Văn Minh</t>
  </si>
  <si>
    <t>Doãn Hòa</t>
  </si>
  <si>
    <t>TỔNG CỘNG</t>
  </si>
  <si>
    <t>BÌNH QUÂN</t>
  </si>
  <si>
    <t>Bảng tính 4:</t>
  </si>
  <si>
    <t>MÃ HÀNG</t>
  </si>
  <si>
    <t xml:space="preserve">TÊN HÀNG 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</si>
  <si>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</si>
  <si>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</si>
  <si>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</si>
  <si>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</si>
  <si>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</si>
  <si>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</si>
  <si>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</si>
  <si>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</si>
  <si>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Máy lạnh Panasonic</t>
  </si>
  <si>
    <t>Pa0C15</t>
  </si>
  <si>
    <t>Sa0B2</t>
  </si>
  <si>
    <t>Máy lạnh Sanyo</t>
  </si>
  <si>
    <t>To0C23</t>
  </si>
  <si>
    <t>Máy lạnhTosiba</t>
  </si>
  <si>
    <t>Hi0C12</t>
  </si>
  <si>
    <t>Máy lạnh Hitachi</t>
  </si>
  <si>
    <t>Hi0A13</t>
  </si>
  <si>
    <t>To0B12</t>
  </si>
  <si>
    <t>CỘNG</t>
  </si>
  <si>
    <t>Bảng tra dữ liệu các loại máy lạnh:</t>
  </si>
  <si>
    <t>TÊN HÀNG</t>
  </si>
  <si>
    <t>Pa</t>
  </si>
  <si>
    <t>To</t>
  </si>
  <si>
    <t>Sa</t>
  </si>
  <si>
    <t>Hi</t>
  </si>
  <si>
    <t>DANH SÁCH CÁC MẶT HÀNG CÓ TIỀN XUẤT &gt;= 20000</t>
  </si>
  <si>
    <t>Bán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</si>
</sst>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_-* #,##0\ _₫_-;\-* #,##0\ _₫_-;_-* &quot;-&quot;\ _₫_-;_-@_-"/>
    <numFmt numFmtId="169" formatCode="#,##0_ ;\-#,##0\ "/>
    <numFmt numFmtId="170" formatCode="_-* #,##0.00\ [$₫-42A]_-;\-* #,##0.00\ [$₫-42A]_-;_-* &quot;-&quot;??\ [$₫-42A]_-;_-@_-"/>
  </numFmts>
  <fonts count="5">
    <font>
      <sz val="11"/>
      <color theme="1"/>
      <name val="Calibri"/>
      <charset val="134"/>
      <scheme val="minor"/>
    </font>
    <font>
      <b/>
      <u/>
      <sz val="14"/>
      <color theme="1"/>
      <name val="Times New Roman"/>
      <charset val="134"/>
    </font>
    <font>
      <sz val="14"/>
      <color theme="1"/>
      <name val="Times New Roman"/>
      <charset val="163"/>
    </font>
    <font>
      <sz val="14"/>
      <color theme="1"/>
      <name val="Times New Roman"/>
      <charset val="134"/>
    </font>
    <font>
      <b/>
      <sz val="20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68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9" fontId="2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/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4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/>
    <xf numFmtId="0" fontId="2" fillId="0" borderId="9" xfId="0" applyFont="1" applyFill="1" applyBorder="1" applyAlignment="1">
      <alignment horizontal="center"/>
    </xf>
    <xf numFmtId="2" fontId="2" fillId="0" borderId="9" xfId="0" applyNumberFormat="1" applyFont="1" applyFill="1" applyBorder="1" applyAlignment="1">
      <alignment horizontal="center"/>
    </xf>
    <xf numFmtId="170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A4" workbookViewId="0">
      <selection activeCell="M16" sqref="M16"/>
    </sheetView>
  </sheetViews>
  <sheetFormatPr defaultColWidth="8.7265625" defaultRowHeight="14.5"/>
  <cols>
    <col min="3" max="3" width="6" customWidth="1"/>
    <col min="4" max="4" width="11.90625" customWidth="1"/>
    <col min="5" max="5" width="11.81640625" customWidth="1"/>
    <col min="6" max="6" width="11.7265625" customWidth="1"/>
    <col min="7" max="7" width="11.6328125" customWidth="1"/>
    <col min="8" max="8" width="11.7265625" customWidth="1"/>
    <col min="9" max="9" width="12.36328125" customWidth="1"/>
    <col min="10" max="10" width="11.08984375" customWidth="1"/>
    <col min="11" max="11" width="12.08984375" customWidth="1"/>
    <col min="12" max="12" width="12.1796875" customWidth="1"/>
    <col min="13" max="13" width="11.6328125" customWidth="1"/>
  </cols>
  <sheetData>
    <row r="1" spans="1:13" ht="18">
      <c r="A1" s="2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5">
      <c r="A3" s="2"/>
      <c r="B3" s="2"/>
      <c r="C3" s="30" t="s">
        <v>1</v>
      </c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36">
      <c r="A4" s="2"/>
      <c r="B4" s="2"/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7" t="s">
        <v>8</v>
      </c>
      <c r="J4" s="23" t="s">
        <v>9</v>
      </c>
      <c r="K4" s="23" t="s">
        <v>10</v>
      </c>
      <c r="L4" s="28" t="s">
        <v>11</v>
      </c>
      <c r="M4" s="28" t="s">
        <v>12</v>
      </c>
    </row>
    <row r="5" spans="1:13" ht="18">
      <c r="A5" s="2"/>
      <c r="B5" s="2"/>
      <c r="C5" s="24">
        <v>1</v>
      </c>
      <c r="D5" s="25" t="s">
        <v>13</v>
      </c>
      <c r="E5" s="25" t="s">
        <v>14</v>
      </c>
      <c r="F5" s="25">
        <v>1988</v>
      </c>
      <c r="G5" s="25">
        <v>10</v>
      </c>
      <c r="H5" s="25">
        <v>8</v>
      </c>
      <c r="I5" s="25">
        <v>9</v>
      </c>
      <c r="J5" s="26">
        <f t="shared" ref="J5:J16" si="0">(G5*2+H5*2+I5)/5</f>
        <v>9</v>
      </c>
      <c r="K5" s="25" t="str">
        <f t="shared" ref="K5:K16" si="1">IF(J5&gt;=5,"ĐẠT","RỚT")</f>
        <v>ĐẠT</v>
      </c>
      <c r="L5" s="25">
        <v>1</v>
      </c>
      <c r="M5" s="29">
        <f>IF(L5=1,200000,IF(L5=2,100000,0))</f>
        <v>200000</v>
      </c>
    </row>
    <row r="6" spans="1:13" ht="18">
      <c r="A6" s="2"/>
      <c r="B6" s="2"/>
      <c r="C6" s="24">
        <v>2</v>
      </c>
      <c r="D6" s="25" t="s">
        <v>15</v>
      </c>
      <c r="E6" s="25" t="s">
        <v>14</v>
      </c>
      <c r="F6" s="25">
        <v>1987</v>
      </c>
      <c r="G6" s="25">
        <v>8</v>
      </c>
      <c r="H6" s="25">
        <v>8.5</v>
      </c>
      <c r="I6" s="25">
        <v>9</v>
      </c>
      <c r="J6" s="26">
        <f t="shared" si="0"/>
        <v>8.4</v>
      </c>
      <c r="K6" s="25" t="str">
        <f t="shared" si="1"/>
        <v>ĐẠT</v>
      </c>
      <c r="L6" s="25">
        <v>2</v>
      </c>
      <c r="M6" s="29">
        <f>IF(L6=1,200000,IF(L6=2,100000,0))</f>
        <v>100000</v>
      </c>
    </row>
    <row r="7" spans="1:13" ht="18">
      <c r="A7" s="2"/>
      <c r="B7" s="2"/>
      <c r="C7" s="24">
        <v>3</v>
      </c>
      <c r="D7" s="25" t="s">
        <v>16</v>
      </c>
      <c r="E7" s="25" t="s">
        <v>14</v>
      </c>
      <c r="F7" s="25">
        <v>1986</v>
      </c>
      <c r="G7" s="25">
        <v>9</v>
      </c>
      <c r="H7" s="25">
        <v>8</v>
      </c>
      <c r="I7" s="25">
        <v>7</v>
      </c>
      <c r="J7" s="26">
        <f t="shared" si="0"/>
        <v>8.1999999999999993</v>
      </c>
      <c r="K7" s="25" t="str">
        <f t="shared" si="1"/>
        <v>ĐẠT</v>
      </c>
      <c r="L7" s="25">
        <v>3</v>
      </c>
      <c r="M7" s="25">
        <f t="shared" ref="M7:M15" si="2">IF(L7=1,200,IF(L7=2,100,0))</f>
        <v>0</v>
      </c>
    </row>
    <row r="8" spans="1:13" ht="18">
      <c r="A8" s="2"/>
      <c r="B8" s="2"/>
      <c r="C8" s="24">
        <v>4</v>
      </c>
      <c r="D8" s="25" t="s">
        <v>17</v>
      </c>
      <c r="E8" s="25" t="s">
        <v>18</v>
      </c>
      <c r="F8" s="25">
        <v>1988</v>
      </c>
      <c r="G8" s="25">
        <v>10</v>
      </c>
      <c r="H8" s="25">
        <v>4</v>
      </c>
      <c r="I8" s="25">
        <v>7</v>
      </c>
      <c r="J8" s="26">
        <f t="shared" si="0"/>
        <v>7</v>
      </c>
      <c r="K8" s="25" t="str">
        <f t="shared" si="1"/>
        <v>ĐẠT</v>
      </c>
      <c r="L8" s="25">
        <v>4</v>
      </c>
      <c r="M8" s="25">
        <f t="shared" si="2"/>
        <v>0</v>
      </c>
    </row>
    <row r="9" spans="1:13" ht="18">
      <c r="A9" s="2"/>
      <c r="B9" s="2"/>
      <c r="C9" s="24">
        <v>5</v>
      </c>
      <c r="D9" s="25" t="s">
        <v>19</v>
      </c>
      <c r="E9" s="25" t="s">
        <v>14</v>
      </c>
      <c r="F9" s="25">
        <v>1988</v>
      </c>
      <c r="G9" s="25">
        <v>9</v>
      </c>
      <c r="H9" s="25">
        <v>5</v>
      </c>
      <c r="I9" s="25">
        <v>6</v>
      </c>
      <c r="J9" s="26">
        <f t="shared" si="0"/>
        <v>6.8</v>
      </c>
      <c r="K9" s="25" t="str">
        <f t="shared" si="1"/>
        <v>ĐẠT</v>
      </c>
      <c r="L9" s="25">
        <v>5</v>
      </c>
      <c r="M9" s="25">
        <f t="shared" si="2"/>
        <v>0</v>
      </c>
    </row>
    <row r="10" spans="1:13" ht="18">
      <c r="A10" s="2"/>
      <c r="B10" s="2"/>
      <c r="C10" s="24">
        <v>6</v>
      </c>
      <c r="D10" s="25" t="s">
        <v>20</v>
      </c>
      <c r="E10" s="25" t="s">
        <v>18</v>
      </c>
      <c r="F10" s="25">
        <v>1987</v>
      </c>
      <c r="G10" s="25">
        <v>6</v>
      </c>
      <c r="H10" s="25">
        <v>6</v>
      </c>
      <c r="I10" s="25">
        <v>8</v>
      </c>
      <c r="J10" s="26">
        <f t="shared" si="0"/>
        <v>6.4</v>
      </c>
      <c r="K10" s="25" t="str">
        <f t="shared" si="1"/>
        <v>ĐẠT</v>
      </c>
      <c r="L10" s="25">
        <v>6</v>
      </c>
      <c r="M10" s="25">
        <f t="shared" si="2"/>
        <v>0</v>
      </c>
    </row>
    <row r="11" spans="1:13" ht="18">
      <c r="A11" s="2"/>
      <c r="B11" s="2"/>
      <c r="C11" s="24">
        <v>7</v>
      </c>
      <c r="D11" s="25" t="s">
        <v>21</v>
      </c>
      <c r="E11" s="25" t="s">
        <v>14</v>
      </c>
      <c r="F11" s="25">
        <v>1986</v>
      </c>
      <c r="G11" s="25">
        <v>7.5</v>
      </c>
      <c r="H11" s="25">
        <v>5</v>
      </c>
      <c r="I11" s="25">
        <v>6</v>
      </c>
      <c r="J11" s="26">
        <f t="shared" si="0"/>
        <v>6.2</v>
      </c>
      <c r="K11" s="25" t="str">
        <f t="shared" si="1"/>
        <v>ĐẠT</v>
      </c>
      <c r="L11" s="25">
        <v>7</v>
      </c>
      <c r="M11" s="25">
        <f t="shared" si="2"/>
        <v>0</v>
      </c>
    </row>
    <row r="12" spans="1:13" ht="18">
      <c r="A12" s="2"/>
      <c r="B12" s="2"/>
      <c r="C12" s="24">
        <v>8</v>
      </c>
      <c r="D12" s="25" t="s">
        <v>14</v>
      </c>
      <c r="E12" s="25" t="s">
        <v>14</v>
      </c>
      <c r="F12" s="25">
        <v>1988</v>
      </c>
      <c r="G12" s="25">
        <v>3</v>
      </c>
      <c r="H12" s="25">
        <v>9</v>
      </c>
      <c r="I12" s="25">
        <v>7</v>
      </c>
      <c r="J12" s="26">
        <f t="shared" si="0"/>
        <v>6.2</v>
      </c>
      <c r="K12" s="25" t="str">
        <f t="shared" si="1"/>
        <v>ĐẠT</v>
      </c>
      <c r="L12" s="25">
        <v>7</v>
      </c>
      <c r="M12" s="25">
        <f t="shared" si="2"/>
        <v>0</v>
      </c>
    </row>
    <row r="13" spans="1:13" ht="18">
      <c r="A13" s="2"/>
      <c r="B13" s="2"/>
      <c r="C13" s="24">
        <v>9</v>
      </c>
      <c r="D13" s="25" t="s">
        <v>22</v>
      </c>
      <c r="E13" s="25" t="s">
        <v>23</v>
      </c>
      <c r="F13" s="25">
        <v>1988</v>
      </c>
      <c r="G13" s="25">
        <v>4</v>
      </c>
      <c r="H13" s="25">
        <v>5</v>
      </c>
      <c r="I13" s="25">
        <v>5.5</v>
      </c>
      <c r="J13" s="26">
        <f t="shared" si="0"/>
        <v>4.7</v>
      </c>
      <c r="K13" s="25" t="str">
        <f t="shared" si="1"/>
        <v>RỚT</v>
      </c>
      <c r="L13" s="25">
        <v>10</v>
      </c>
      <c r="M13" s="25">
        <f t="shared" si="2"/>
        <v>0</v>
      </c>
    </row>
    <row r="14" spans="1:13" ht="18">
      <c r="A14" s="2"/>
      <c r="B14" s="2"/>
      <c r="C14" s="24">
        <v>10</v>
      </c>
      <c r="D14" s="25" t="s">
        <v>24</v>
      </c>
      <c r="E14" s="25" t="s">
        <v>18</v>
      </c>
      <c r="F14" s="25">
        <v>1988</v>
      </c>
      <c r="G14" s="25">
        <v>4.5</v>
      </c>
      <c r="H14" s="25">
        <v>6</v>
      </c>
      <c r="I14" s="25">
        <v>4</v>
      </c>
      <c r="J14" s="26">
        <f t="shared" si="0"/>
        <v>5</v>
      </c>
      <c r="K14" s="25" t="str">
        <f t="shared" si="1"/>
        <v>ĐẠT</v>
      </c>
      <c r="L14" s="25">
        <v>9</v>
      </c>
      <c r="M14" s="25">
        <f t="shared" si="2"/>
        <v>0</v>
      </c>
    </row>
    <row r="15" spans="1:13" ht="18">
      <c r="A15" s="2"/>
      <c r="B15" s="2"/>
      <c r="C15" s="24">
        <v>11</v>
      </c>
      <c r="D15" s="25" t="s">
        <v>25</v>
      </c>
      <c r="E15" s="25" t="s">
        <v>14</v>
      </c>
      <c r="F15" s="25">
        <v>1987</v>
      </c>
      <c r="G15" s="25">
        <v>3</v>
      </c>
      <c r="H15" s="25">
        <v>5</v>
      </c>
      <c r="I15" s="25">
        <v>5</v>
      </c>
      <c r="J15" s="26">
        <f t="shared" si="0"/>
        <v>4.2</v>
      </c>
      <c r="K15" s="25" t="str">
        <f t="shared" si="1"/>
        <v>RỚT</v>
      </c>
      <c r="L15" s="25">
        <v>11</v>
      </c>
      <c r="M15" s="25">
        <f t="shared" si="2"/>
        <v>0</v>
      </c>
    </row>
    <row r="16" spans="1:13" ht="18">
      <c r="A16" s="2"/>
      <c r="B16" s="2"/>
      <c r="C16" s="24">
        <v>12</v>
      </c>
      <c r="D16" s="25" t="s">
        <v>26</v>
      </c>
      <c r="E16" s="25" t="s">
        <v>14</v>
      </c>
      <c r="F16" s="25">
        <v>1986</v>
      </c>
      <c r="G16" s="25">
        <v>4</v>
      </c>
      <c r="H16" s="25">
        <v>3</v>
      </c>
      <c r="I16" s="25">
        <v>5</v>
      </c>
      <c r="J16" s="26">
        <f t="shared" si="0"/>
        <v>3.8</v>
      </c>
      <c r="K16" s="25" t="str">
        <f t="shared" si="1"/>
        <v>RỚT</v>
      </c>
      <c r="L16" s="25">
        <v>12</v>
      </c>
      <c r="M16" s="25">
        <v>0</v>
      </c>
    </row>
    <row r="17" spans="1:13" ht="18">
      <c r="A17" s="2"/>
      <c r="B17" s="2"/>
      <c r="C17" s="33" t="s">
        <v>27</v>
      </c>
      <c r="D17" s="33"/>
      <c r="E17" s="33"/>
      <c r="F17" s="33"/>
      <c r="G17" s="25">
        <f t="shared" ref="G17:J17" si="3">AVERAGE(G5:G16)</f>
        <v>6.5</v>
      </c>
      <c r="H17" s="26">
        <f t="shared" si="3"/>
        <v>6.0416666666666696</v>
      </c>
      <c r="I17" s="26">
        <f t="shared" si="3"/>
        <v>6.5416666666666696</v>
      </c>
      <c r="J17" s="26">
        <f t="shared" si="3"/>
        <v>6.3250000000000002</v>
      </c>
      <c r="K17" s="25"/>
      <c r="L17" s="26"/>
      <c r="M17" s="25"/>
    </row>
    <row r="18" spans="1:13" ht="18">
      <c r="A18" s="2"/>
      <c r="B18" s="2"/>
      <c r="C18" s="33" t="s">
        <v>28</v>
      </c>
      <c r="D18" s="33"/>
      <c r="E18" s="33"/>
      <c r="F18" s="33"/>
      <c r="G18" s="25">
        <f t="shared" ref="G18:J18" si="4">MAX(G5:G16)</f>
        <v>10</v>
      </c>
      <c r="H18" s="25">
        <f t="shared" si="4"/>
        <v>9</v>
      </c>
      <c r="I18" s="25">
        <f t="shared" si="4"/>
        <v>9</v>
      </c>
      <c r="J18" s="25">
        <f t="shared" si="4"/>
        <v>9</v>
      </c>
      <c r="K18" s="25"/>
      <c r="L18" s="25"/>
      <c r="M18" s="25"/>
    </row>
    <row r="19" spans="1:13" ht="18">
      <c r="A19" s="2"/>
      <c r="B19" s="2"/>
      <c r="C19" s="33" t="s">
        <v>29</v>
      </c>
      <c r="D19" s="33"/>
      <c r="E19" s="33"/>
      <c r="F19" s="33"/>
      <c r="G19" s="25">
        <f t="shared" ref="G19:J19" si="5">MIN(G5:G16)</f>
        <v>3</v>
      </c>
      <c r="H19" s="25">
        <f t="shared" si="5"/>
        <v>3</v>
      </c>
      <c r="I19" s="25">
        <f t="shared" si="5"/>
        <v>4</v>
      </c>
      <c r="J19" s="25">
        <f t="shared" si="5"/>
        <v>3.8</v>
      </c>
      <c r="K19" s="25"/>
      <c r="L19" s="25"/>
      <c r="M19" s="25"/>
    </row>
  </sheetData>
  <mergeCells count="4">
    <mergeCell ref="C3:M3"/>
    <mergeCell ref="C17:F17"/>
    <mergeCell ref="C18:F18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B8" sqref="B8"/>
    </sheetView>
  </sheetViews>
  <sheetFormatPr defaultColWidth="8.7265625" defaultRowHeight="14.5"/>
  <cols>
    <col min="4" max="4" width="22.1796875" customWidth="1"/>
    <col min="5" max="5" width="11.36328125" customWidth="1"/>
    <col min="7" max="7" width="15.90625" customWidth="1"/>
    <col min="8" max="8" width="17.26953125" customWidth="1"/>
    <col min="9" max="9" width="15.54296875" customWidth="1"/>
    <col min="10" max="10" width="15.453125" customWidth="1"/>
  </cols>
  <sheetData>
    <row r="1" spans="1:10" ht="18">
      <c r="A1" s="1" t="s">
        <v>30</v>
      </c>
      <c r="B1" s="2"/>
      <c r="C1" s="2"/>
      <c r="D1" s="2"/>
      <c r="E1" s="2"/>
      <c r="F1" s="2"/>
      <c r="G1" s="2"/>
      <c r="H1" s="2"/>
      <c r="I1" s="2"/>
      <c r="J1" s="21"/>
    </row>
    <row r="2" spans="1:10" ht="18">
      <c r="A2" s="2"/>
      <c r="B2" s="2"/>
      <c r="C2" s="34" t="s">
        <v>31</v>
      </c>
      <c r="D2" s="34"/>
      <c r="E2" s="34"/>
      <c r="F2" s="34"/>
      <c r="G2" s="34"/>
      <c r="H2" s="34"/>
      <c r="I2" s="34"/>
      <c r="J2" s="34"/>
    </row>
    <row r="3" spans="1:10" ht="18">
      <c r="A3" s="2"/>
      <c r="B3" s="2"/>
      <c r="C3" s="19" t="s">
        <v>2</v>
      </c>
      <c r="D3" s="3" t="s">
        <v>32</v>
      </c>
      <c r="E3" s="3" t="s">
        <v>33</v>
      </c>
      <c r="F3" s="19" t="s">
        <v>4</v>
      </c>
      <c r="G3" s="19" t="s">
        <v>34</v>
      </c>
      <c r="H3" s="19" t="s">
        <v>35</v>
      </c>
      <c r="I3" s="19" t="s">
        <v>36</v>
      </c>
      <c r="J3" s="19" t="s">
        <v>37</v>
      </c>
    </row>
    <row r="4" spans="1:10" ht="18">
      <c r="A4" s="2"/>
      <c r="B4" s="2"/>
      <c r="C4" s="16">
        <v>1</v>
      </c>
      <c r="D4" s="16" t="s">
        <v>38</v>
      </c>
      <c r="E4" s="16" t="s">
        <v>39</v>
      </c>
      <c r="F4" s="16" t="s">
        <v>14</v>
      </c>
      <c r="G4" s="16">
        <v>25</v>
      </c>
      <c r="H4" s="20">
        <f t="shared" ref="H4:H9" si="0">IF(F4="NỮ",200000,0)</f>
        <v>0</v>
      </c>
      <c r="I4" s="20">
        <f t="shared" ref="I4:I9" si="1">IF(G5&gt;=24,300000,0)</f>
        <v>300000</v>
      </c>
      <c r="J4" s="13">
        <f>IF(OR(AND(F4="NAM",G4&gt;26),AND(F4="NỮ",G4&gt;25)),100,0)</f>
        <v>0</v>
      </c>
    </row>
    <row r="5" spans="1:10" ht="18">
      <c r="A5" s="2"/>
      <c r="B5" s="2"/>
      <c r="C5" s="16">
        <v>2</v>
      </c>
      <c r="D5" s="16" t="s">
        <v>40</v>
      </c>
      <c r="E5" s="16" t="s">
        <v>41</v>
      </c>
      <c r="F5" s="16" t="s">
        <v>14</v>
      </c>
      <c r="G5" s="16">
        <v>24</v>
      </c>
      <c r="H5" s="20">
        <f t="shared" si="0"/>
        <v>0</v>
      </c>
      <c r="I5" s="20">
        <f t="shared" si="1"/>
        <v>300000</v>
      </c>
      <c r="J5" s="13">
        <f>IF(OR(AND(F5="NAM",G5&gt;26),AND(F5="NỮ",G5&gt;25)),100,0)</f>
        <v>0</v>
      </c>
    </row>
    <row r="6" spans="1:10" ht="18">
      <c r="A6" s="2"/>
      <c r="B6" s="2"/>
      <c r="C6" s="16">
        <v>3</v>
      </c>
      <c r="D6" s="16" t="s">
        <v>42</v>
      </c>
      <c r="E6" s="16" t="s">
        <v>43</v>
      </c>
      <c r="F6" s="16" t="s">
        <v>18</v>
      </c>
      <c r="G6" s="16">
        <v>26</v>
      </c>
      <c r="H6" s="20">
        <f t="shared" si="0"/>
        <v>200000</v>
      </c>
      <c r="I6" s="20">
        <f t="shared" si="1"/>
        <v>0</v>
      </c>
      <c r="J6" s="13">
        <f t="shared" ref="J6:J9" si="2">IF(OR(AND(F6="NAM",G6&gt;26),AND(F6="NỮ",G6&gt;25)),100000,0)</f>
        <v>100000</v>
      </c>
    </row>
    <row r="7" spans="1:10" ht="18">
      <c r="A7" s="2"/>
      <c r="B7" s="2"/>
      <c r="C7" s="16">
        <v>4</v>
      </c>
      <c r="D7" s="16" t="s">
        <v>44</v>
      </c>
      <c r="E7" s="16" t="s">
        <v>45</v>
      </c>
      <c r="F7" s="16" t="s">
        <v>18</v>
      </c>
      <c r="G7" s="16">
        <v>22</v>
      </c>
      <c r="H7" s="20">
        <f t="shared" si="0"/>
        <v>200000</v>
      </c>
      <c r="I7" s="20">
        <f t="shared" si="1"/>
        <v>300000</v>
      </c>
      <c r="J7" s="13">
        <f t="shared" si="2"/>
        <v>0</v>
      </c>
    </row>
    <row r="8" spans="1:10" ht="18">
      <c r="A8" s="2"/>
      <c r="B8" s="2"/>
      <c r="C8" s="16">
        <v>5</v>
      </c>
      <c r="D8" s="16" t="s">
        <v>46</v>
      </c>
      <c r="E8" s="16" t="s">
        <v>14</v>
      </c>
      <c r="F8" s="16" t="s">
        <v>14</v>
      </c>
      <c r="G8" s="16">
        <v>27</v>
      </c>
      <c r="H8" s="20">
        <f t="shared" si="0"/>
        <v>0</v>
      </c>
      <c r="I8" s="20">
        <f t="shared" si="1"/>
        <v>300000</v>
      </c>
      <c r="J8" s="13">
        <f t="shared" si="2"/>
        <v>100000</v>
      </c>
    </row>
    <row r="9" spans="1:10" ht="18">
      <c r="A9" s="2"/>
      <c r="B9" s="2"/>
      <c r="C9" s="16">
        <v>6</v>
      </c>
      <c r="D9" s="16" t="s">
        <v>47</v>
      </c>
      <c r="E9" s="16" t="s">
        <v>48</v>
      </c>
      <c r="F9" s="16" t="s">
        <v>18</v>
      </c>
      <c r="G9" s="16">
        <v>25</v>
      </c>
      <c r="H9" s="20">
        <f t="shared" si="0"/>
        <v>200000</v>
      </c>
      <c r="I9" s="20">
        <f t="shared" si="1"/>
        <v>0</v>
      </c>
      <c r="J9" s="13">
        <f t="shared" si="2"/>
        <v>0</v>
      </c>
    </row>
    <row r="10" spans="1:10" ht="18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mergeCells count="1">
    <mergeCell ref="C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zoomScale="78" zoomScaleNormal="78" workbookViewId="0">
      <selection activeCell="D2" sqref="D1:D2"/>
    </sheetView>
  </sheetViews>
  <sheetFormatPr defaultColWidth="8.7265625" defaultRowHeight="14.5"/>
  <cols>
    <col min="5" max="5" width="19.36328125" customWidth="1"/>
    <col min="6" max="6" width="11.6328125" customWidth="1"/>
    <col min="7" max="7" width="11.453125" customWidth="1"/>
    <col min="8" max="8" width="12.36328125" customWidth="1"/>
    <col min="9" max="9" width="10.7265625" customWidth="1"/>
    <col min="10" max="10" width="10.81640625" customWidth="1"/>
    <col min="11" max="11" width="13.26953125" customWidth="1"/>
    <col min="12" max="12" width="14.36328125" customWidth="1"/>
    <col min="13" max="13" width="11.6328125" customWidth="1"/>
    <col min="14" max="14" width="12.08984375" customWidth="1"/>
  </cols>
  <sheetData>
    <row r="1" spans="1:14" ht="18">
      <c r="A1" s="2"/>
      <c r="B1" s="1" t="s">
        <v>49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6">
      <c r="A2" s="2"/>
      <c r="B2" s="2"/>
      <c r="C2" s="10"/>
      <c r="D2" s="14" t="s">
        <v>2</v>
      </c>
      <c r="E2" s="14" t="s">
        <v>50</v>
      </c>
      <c r="F2" s="15" t="s">
        <v>51</v>
      </c>
      <c r="G2" s="15" t="s">
        <v>52</v>
      </c>
      <c r="H2" s="14" t="s">
        <v>53</v>
      </c>
      <c r="I2" s="14" t="s">
        <v>54</v>
      </c>
      <c r="J2" s="14" t="s">
        <v>55</v>
      </c>
      <c r="K2" s="15" t="s">
        <v>56</v>
      </c>
      <c r="L2" s="14" t="s">
        <v>57</v>
      </c>
      <c r="M2" s="15" t="s">
        <v>58</v>
      </c>
      <c r="N2" s="14" t="s">
        <v>59</v>
      </c>
    </row>
    <row r="3" spans="1:14" ht="18">
      <c r="A3" s="2"/>
      <c r="B3" s="2"/>
      <c r="C3" s="2"/>
      <c r="D3" s="16">
        <v>1</v>
      </c>
      <c r="E3" s="16" t="s">
        <v>60</v>
      </c>
      <c r="F3" s="16" t="s">
        <v>61</v>
      </c>
      <c r="G3" s="17">
        <v>24524</v>
      </c>
      <c r="H3" s="16">
        <v>120000</v>
      </c>
      <c r="I3" s="16">
        <v>25</v>
      </c>
      <c r="J3" s="18">
        <f t="shared" ref="J3:J17" ca="1" si="0">YEAR(TODAY())-YEAR(G3)</f>
        <v>58</v>
      </c>
      <c r="K3" s="13">
        <f t="shared" ref="K3:K17" si="1">H3*I3</f>
        <v>3000000</v>
      </c>
      <c r="L3" s="13">
        <f t="shared" ref="L3:L17" si="2">IF(F3="GĐ",500000,IF(F3="PGĐ",400000,IF(F3="TP",300000,IF(F3="PP",200000,100000))))</f>
        <v>300000</v>
      </c>
      <c r="M3" s="13">
        <f t="shared" ref="M3:M17" si="3">80%*K3</f>
        <v>2400000</v>
      </c>
      <c r="N3" s="13">
        <f t="shared" ref="N3:N17" si="4">K3+L3-M3</f>
        <v>900000</v>
      </c>
    </row>
    <row r="4" spans="1:14" ht="18">
      <c r="A4" s="2"/>
      <c r="B4" s="2"/>
      <c r="C4" s="2"/>
      <c r="D4" s="16">
        <v>2</v>
      </c>
      <c r="E4" s="16" t="s">
        <v>62</v>
      </c>
      <c r="F4" s="16" t="s">
        <v>63</v>
      </c>
      <c r="G4" s="17">
        <v>27659</v>
      </c>
      <c r="H4" s="16">
        <v>160000</v>
      </c>
      <c r="I4" s="16">
        <v>24</v>
      </c>
      <c r="J4" s="18">
        <f t="shared" ca="1" si="0"/>
        <v>50</v>
      </c>
      <c r="K4" s="13">
        <f t="shared" si="1"/>
        <v>3840000</v>
      </c>
      <c r="L4" s="13">
        <f t="shared" si="2"/>
        <v>100000</v>
      </c>
      <c r="M4" s="13">
        <f t="shared" si="3"/>
        <v>3072000</v>
      </c>
      <c r="N4" s="13">
        <f t="shared" si="4"/>
        <v>868000</v>
      </c>
    </row>
    <row r="5" spans="1:14" ht="18">
      <c r="A5" s="2"/>
      <c r="B5" s="2"/>
      <c r="C5" s="2"/>
      <c r="D5" s="16">
        <v>3</v>
      </c>
      <c r="E5" s="16" t="s">
        <v>64</v>
      </c>
      <c r="F5" s="16" t="s">
        <v>65</v>
      </c>
      <c r="G5" s="17">
        <v>24972</v>
      </c>
      <c r="H5" s="16">
        <v>150000</v>
      </c>
      <c r="I5" s="16">
        <v>26</v>
      </c>
      <c r="J5" s="18">
        <f t="shared" ca="1" si="0"/>
        <v>57</v>
      </c>
      <c r="K5" s="13">
        <f t="shared" si="1"/>
        <v>3900000</v>
      </c>
      <c r="L5" s="13">
        <f t="shared" si="2"/>
        <v>200000</v>
      </c>
      <c r="M5" s="13">
        <f t="shared" si="3"/>
        <v>3120000</v>
      </c>
      <c r="N5" s="13">
        <f t="shared" si="4"/>
        <v>980000</v>
      </c>
    </row>
    <row r="6" spans="1:14" ht="18">
      <c r="A6" s="2"/>
      <c r="B6" s="2"/>
      <c r="C6" s="2"/>
      <c r="D6" s="16">
        <v>4</v>
      </c>
      <c r="E6" s="16" t="s">
        <v>66</v>
      </c>
      <c r="F6" s="16" t="s">
        <v>63</v>
      </c>
      <c r="G6" s="17">
        <v>21231</v>
      </c>
      <c r="H6" s="16">
        <v>130000</v>
      </c>
      <c r="I6" s="16">
        <v>20</v>
      </c>
      <c r="J6" s="18">
        <f t="shared" ca="1" si="0"/>
        <v>67</v>
      </c>
      <c r="K6" s="13">
        <f t="shared" si="1"/>
        <v>2600000</v>
      </c>
      <c r="L6" s="13">
        <f t="shared" si="2"/>
        <v>100000</v>
      </c>
      <c r="M6" s="13">
        <f t="shared" si="3"/>
        <v>2080000</v>
      </c>
      <c r="N6" s="13">
        <f t="shared" si="4"/>
        <v>620000</v>
      </c>
    </row>
    <row r="7" spans="1:14" ht="18">
      <c r="A7" s="2"/>
      <c r="B7" s="2"/>
      <c r="C7" s="2"/>
      <c r="D7" s="16">
        <v>5</v>
      </c>
      <c r="E7" s="16" t="s">
        <v>67</v>
      </c>
      <c r="F7" s="16" t="s">
        <v>68</v>
      </c>
      <c r="G7" s="17">
        <v>28728</v>
      </c>
      <c r="H7" s="16">
        <v>180000</v>
      </c>
      <c r="I7" s="16">
        <v>23</v>
      </c>
      <c r="J7" s="18">
        <f t="shared" ca="1" si="0"/>
        <v>47</v>
      </c>
      <c r="K7" s="13">
        <f t="shared" si="1"/>
        <v>4140000</v>
      </c>
      <c r="L7" s="13">
        <f t="shared" si="2"/>
        <v>100000</v>
      </c>
      <c r="M7" s="13">
        <f t="shared" si="3"/>
        <v>3312000</v>
      </c>
      <c r="N7" s="13">
        <f t="shared" si="4"/>
        <v>928000</v>
      </c>
    </row>
    <row r="8" spans="1:14" ht="18">
      <c r="A8" s="2"/>
      <c r="B8" s="2"/>
      <c r="C8" s="2"/>
      <c r="D8" s="16">
        <v>6</v>
      </c>
      <c r="E8" s="16" t="s">
        <v>69</v>
      </c>
      <c r="F8" s="16" t="s">
        <v>70</v>
      </c>
      <c r="G8" s="17">
        <v>25432</v>
      </c>
      <c r="H8" s="16">
        <v>150000</v>
      </c>
      <c r="I8" s="16">
        <v>24</v>
      </c>
      <c r="J8" s="18">
        <f t="shared" ca="1" si="0"/>
        <v>56</v>
      </c>
      <c r="K8" s="13">
        <f t="shared" si="1"/>
        <v>3600000</v>
      </c>
      <c r="L8" s="13">
        <f t="shared" si="2"/>
        <v>100000</v>
      </c>
      <c r="M8" s="13">
        <f t="shared" si="3"/>
        <v>2880000</v>
      </c>
      <c r="N8" s="13">
        <f t="shared" si="4"/>
        <v>820000</v>
      </c>
    </row>
    <row r="9" spans="1:14" ht="18">
      <c r="A9" s="2"/>
      <c r="B9" s="2"/>
      <c r="C9" s="2"/>
      <c r="D9" s="16">
        <v>7</v>
      </c>
      <c r="E9" s="16" t="s">
        <v>71</v>
      </c>
      <c r="F9" s="16" t="s">
        <v>65</v>
      </c>
      <c r="G9" s="17">
        <v>25430</v>
      </c>
      <c r="H9" s="16">
        <v>140000</v>
      </c>
      <c r="I9" s="16">
        <v>27</v>
      </c>
      <c r="J9" s="18">
        <f t="shared" ca="1" si="0"/>
        <v>56</v>
      </c>
      <c r="K9" s="13">
        <f t="shared" si="1"/>
        <v>3780000</v>
      </c>
      <c r="L9" s="13">
        <f t="shared" si="2"/>
        <v>200000</v>
      </c>
      <c r="M9" s="13">
        <f t="shared" si="3"/>
        <v>3024000</v>
      </c>
      <c r="N9" s="13">
        <f t="shared" si="4"/>
        <v>956000</v>
      </c>
    </row>
    <row r="10" spans="1:14" ht="18">
      <c r="A10" s="2"/>
      <c r="B10" s="2"/>
      <c r="C10" s="2"/>
      <c r="D10" s="16">
        <v>8</v>
      </c>
      <c r="E10" s="16" t="s">
        <v>72</v>
      </c>
      <c r="F10" s="16" t="s">
        <v>73</v>
      </c>
      <c r="G10" s="17">
        <v>20796</v>
      </c>
      <c r="H10" s="16">
        <v>160000</v>
      </c>
      <c r="I10" s="16">
        <v>14</v>
      </c>
      <c r="J10" s="18">
        <f t="shared" ca="1" si="0"/>
        <v>69</v>
      </c>
      <c r="K10" s="13">
        <f t="shared" si="1"/>
        <v>2240000</v>
      </c>
      <c r="L10" s="13">
        <f t="shared" si="2"/>
        <v>500000</v>
      </c>
      <c r="M10" s="13">
        <f t="shared" si="3"/>
        <v>1792000</v>
      </c>
      <c r="N10" s="13">
        <f t="shared" si="4"/>
        <v>948000</v>
      </c>
    </row>
    <row r="11" spans="1:14" ht="18">
      <c r="A11" s="2"/>
      <c r="B11" s="2"/>
      <c r="C11" s="2"/>
      <c r="D11" s="16">
        <v>9</v>
      </c>
      <c r="E11" s="16" t="s">
        <v>74</v>
      </c>
      <c r="F11" s="16" t="s">
        <v>70</v>
      </c>
      <c r="G11" s="17">
        <v>22194</v>
      </c>
      <c r="H11" s="16">
        <v>150000</v>
      </c>
      <c r="I11" s="16">
        <v>17</v>
      </c>
      <c r="J11" s="18">
        <f t="shared" ca="1" si="0"/>
        <v>65</v>
      </c>
      <c r="K11" s="13">
        <f t="shared" si="1"/>
        <v>2550000</v>
      </c>
      <c r="L11" s="13">
        <f t="shared" si="2"/>
        <v>100000</v>
      </c>
      <c r="M11" s="13">
        <f t="shared" si="3"/>
        <v>2040000</v>
      </c>
      <c r="N11" s="13">
        <f t="shared" si="4"/>
        <v>610000</v>
      </c>
    </row>
    <row r="12" spans="1:14" ht="18">
      <c r="A12" s="2"/>
      <c r="B12" s="2"/>
      <c r="C12" s="2"/>
      <c r="D12" s="16">
        <v>10</v>
      </c>
      <c r="E12" s="16" t="s">
        <v>75</v>
      </c>
      <c r="F12" s="16" t="s">
        <v>63</v>
      </c>
      <c r="G12" s="17">
        <v>19859</v>
      </c>
      <c r="H12" s="16">
        <v>130000</v>
      </c>
      <c r="I12" s="16">
        <v>23</v>
      </c>
      <c r="J12" s="18">
        <f t="shared" ca="1" si="0"/>
        <v>71</v>
      </c>
      <c r="K12" s="13">
        <f t="shared" si="1"/>
        <v>2990000</v>
      </c>
      <c r="L12" s="13">
        <f t="shared" si="2"/>
        <v>100000</v>
      </c>
      <c r="M12" s="13">
        <f t="shared" si="3"/>
        <v>2392000</v>
      </c>
      <c r="N12" s="13">
        <f t="shared" si="4"/>
        <v>698000</v>
      </c>
    </row>
    <row r="13" spans="1:14" ht="18">
      <c r="A13" s="2"/>
      <c r="B13" s="2"/>
      <c r="C13" s="2"/>
      <c r="D13" s="16">
        <v>11</v>
      </c>
      <c r="E13" s="16" t="s">
        <v>76</v>
      </c>
      <c r="F13" s="16" t="s">
        <v>61</v>
      </c>
      <c r="G13" s="17">
        <v>24731</v>
      </c>
      <c r="H13" s="16">
        <v>180000</v>
      </c>
      <c r="I13" s="16">
        <v>22</v>
      </c>
      <c r="J13" s="18">
        <f t="shared" ca="1" si="0"/>
        <v>58</v>
      </c>
      <c r="K13" s="13">
        <f t="shared" si="1"/>
        <v>3960000</v>
      </c>
      <c r="L13" s="13">
        <f t="shared" si="2"/>
        <v>300000</v>
      </c>
      <c r="M13" s="13">
        <f t="shared" si="3"/>
        <v>3168000</v>
      </c>
      <c r="N13" s="13">
        <f t="shared" si="4"/>
        <v>1092000</v>
      </c>
    </row>
    <row r="14" spans="1:14" ht="18">
      <c r="A14" s="2"/>
      <c r="B14" s="2"/>
      <c r="C14" s="2"/>
      <c r="D14" s="16">
        <v>12</v>
      </c>
      <c r="E14" s="16" t="s">
        <v>77</v>
      </c>
      <c r="F14" s="16" t="s">
        <v>63</v>
      </c>
      <c r="G14" s="17">
        <v>25465</v>
      </c>
      <c r="H14" s="16">
        <v>150000</v>
      </c>
      <c r="I14" s="16">
        <v>14</v>
      </c>
      <c r="J14" s="18">
        <f t="shared" ca="1" si="0"/>
        <v>56</v>
      </c>
      <c r="K14" s="13">
        <f t="shared" si="1"/>
        <v>2100000</v>
      </c>
      <c r="L14" s="13">
        <f t="shared" si="2"/>
        <v>100000</v>
      </c>
      <c r="M14" s="13">
        <f t="shared" si="3"/>
        <v>1680000</v>
      </c>
      <c r="N14" s="13">
        <f t="shared" si="4"/>
        <v>520000</v>
      </c>
    </row>
    <row r="15" spans="1:14" ht="18">
      <c r="A15" s="2"/>
      <c r="B15" s="2"/>
      <c r="C15" s="2"/>
      <c r="D15" s="16">
        <v>13</v>
      </c>
      <c r="E15" s="16" t="s">
        <v>78</v>
      </c>
      <c r="F15" s="16" t="s">
        <v>79</v>
      </c>
      <c r="G15" s="17">
        <v>21438</v>
      </c>
      <c r="H15" s="16">
        <v>180000</v>
      </c>
      <c r="I15" s="16">
        <v>23</v>
      </c>
      <c r="J15" s="18">
        <f t="shared" ca="1" si="0"/>
        <v>67</v>
      </c>
      <c r="K15" s="13">
        <f t="shared" si="1"/>
        <v>4140000</v>
      </c>
      <c r="L15" s="13">
        <f t="shared" si="2"/>
        <v>400000</v>
      </c>
      <c r="M15" s="13">
        <f t="shared" si="3"/>
        <v>3312000</v>
      </c>
      <c r="N15" s="13">
        <f t="shared" si="4"/>
        <v>1228000</v>
      </c>
    </row>
    <row r="16" spans="1:14" ht="18">
      <c r="A16" s="2"/>
      <c r="B16" s="2"/>
      <c r="C16" s="2"/>
      <c r="D16" s="16">
        <v>14</v>
      </c>
      <c r="E16" s="16" t="s">
        <v>80</v>
      </c>
      <c r="F16" s="16" t="s">
        <v>61</v>
      </c>
      <c r="G16" s="17">
        <v>19983</v>
      </c>
      <c r="H16" s="16">
        <v>160000</v>
      </c>
      <c r="I16" s="16">
        <v>27</v>
      </c>
      <c r="J16" s="18">
        <f t="shared" ca="1" si="0"/>
        <v>71</v>
      </c>
      <c r="K16" s="13">
        <f t="shared" si="1"/>
        <v>4320000</v>
      </c>
      <c r="L16" s="13">
        <f t="shared" si="2"/>
        <v>300000</v>
      </c>
      <c r="M16" s="13">
        <f t="shared" si="3"/>
        <v>3456000</v>
      </c>
      <c r="N16" s="13">
        <f t="shared" si="4"/>
        <v>1164000</v>
      </c>
    </row>
    <row r="17" spans="1:14" ht="18">
      <c r="A17" s="2"/>
      <c r="B17" s="2"/>
      <c r="C17" s="2"/>
      <c r="D17" s="16">
        <v>15</v>
      </c>
      <c r="E17" s="16" t="s">
        <v>81</v>
      </c>
      <c r="F17" s="16" t="s">
        <v>70</v>
      </c>
      <c r="G17" s="17">
        <v>25074</v>
      </c>
      <c r="H17" s="16">
        <v>130000</v>
      </c>
      <c r="I17" s="16">
        <v>26</v>
      </c>
      <c r="J17" s="18">
        <f t="shared" ca="1" si="0"/>
        <v>57</v>
      </c>
      <c r="K17" s="13">
        <f t="shared" si="1"/>
        <v>3380000</v>
      </c>
      <c r="L17" s="13">
        <f t="shared" si="2"/>
        <v>100000</v>
      </c>
      <c r="M17" s="13">
        <f t="shared" si="3"/>
        <v>2704000</v>
      </c>
      <c r="N17" s="13">
        <f t="shared" si="4"/>
        <v>776000</v>
      </c>
    </row>
    <row r="18" spans="1:14" ht="18">
      <c r="A18" s="2"/>
      <c r="B18" s="2"/>
      <c r="C18" s="2"/>
      <c r="D18" s="35" t="s">
        <v>82</v>
      </c>
      <c r="E18" s="35"/>
      <c r="F18" s="35"/>
      <c r="G18" s="35"/>
      <c r="H18" s="35"/>
      <c r="I18" s="35"/>
      <c r="J18" s="13">
        <f t="shared" ref="J18:N18" ca="1" si="5">SUM(J3:J17)</f>
        <v>905</v>
      </c>
      <c r="K18" s="13">
        <f t="shared" si="5"/>
        <v>50540000</v>
      </c>
      <c r="L18" s="13">
        <f t="shared" si="5"/>
        <v>3000000</v>
      </c>
      <c r="M18" s="13">
        <f t="shared" si="5"/>
        <v>40432000</v>
      </c>
      <c r="N18" s="13">
        <f t="shared" si="5"/>
        <v>13108000</v>
      </c>
    </row>
    <row r="19" spans="1:14" ht="18">
      <c r="A19" s="2"/>
      <c r="B19" s="2"/>
      <c r="C19" s="2"/>
      <c r="D19" s="35" t="s">
        <v>83</v>
      </c>
      <c r="E19" s="35"/>
      <c r="F19" s="35"/>
      <c r="G19" s="35"/>
      <c r="H19" s="35"/>
      <c r="I19" s="35"/>
      <c r="J19" s="18">
        <f t="shared" ref="J19:N19" ca="1" si="6">AVERAGE(J3:J17)</f>
        <v>60.333333333333336</v>
      </c>
      <c r="K19" s="18">
        <f t="shared" si="6"/>
        <v>3369333.3333333302</v>
      </c>
      <c r="L19" s="13">
        <f t="shared" si="6"/>
        <v>200000</v>
      </c>
      <c r="M19" s="18">
        <f t="shared" si="6"/>
        <v>2695466.6666666698</v>
      </c>
      <c r="N19" s="18">
        <f t="shared" si="6"/>
        <v>873866.66666666698</v>
      </c>
    </row>
    <row r="20" spans="1:14" ht="18">
      <c r="A20" s="2"/>
      <c r="B20" s="2"/>
      <c r="C20" s="2"/>
      <c r="D20" s="35" t="s">
        <v>28</v>
      </c>
      <c r="E20" s="35"/>
      <c r="F20" s="35"/>
      <c r="G20" s="35"/>
      <c r="H20" s="35"/>
      <c r="I20" s="35"/>
      <c r="J20" s="13">
        <f t="shared" ref="J20:N20" ca="1" si="7">MAX(J3:J17)</f>
        <v>71</v>
      </c>
      <c r="K20" s="13">
        <f t="shared" si="7"/>
        <v>4320000</v>
      </c>
      <c r="L20" s="13">
        <f t="shared" si="7"/>
        <v>500000</v>
      </c>
      <c r="M20" s="13">
        <f t="shared" si="7"/>
        <v>3456000</v>
      </c>
      <c r="N20" s="13">
        <f t="shared" si="7"/>
        <v>1228000</v>
      </c>
    </row>
    <row r="21" spans="1:14" ht="18">
      <c r="A21" s="2"/>
      <c r="B21" s="2"/>
      <c r="C21" s="2"/>
      <c r="D21" s="35" t="s">
        <v>29</v>
      </c>
      <c r="E21" s="35"/>
      <c r="F21" s="35"/>
      <c r="G21" s="35"/>
      <c r="H21" s="35"/>
      <c r="I21" s="35"/>
      <c r="J21" s="13">
        <f t="shared" ref="J21:N21" ca="1" si="8">MIN(J3:J17)</f>
        <v>47</v>
      </c>
      <c r="K21" s="13">
        <f t="shared" si="8"/>
        <v>2100000</v>
      </c>
      <c r="L21" s="13">
        <f t="shared" si="8"/>
        <v>100000</v>
      </c>
      <c r="M21" s="13">
        <f t="shared" si="8"/>
        <v>1680000</v>
      </c>
      <c r="N21" s="13">
        <f t="shared" si="8"/>
        <v>520000</v>
      </c>
    </row>
  </sheetData>
  <mergeCells count="4">
    <mergeCell ref="D18:I18"/>
    <mergeCell ref="D19:I19"/>
    <mergeCell ref="D20:I20"/>
    <mergeCell ref="D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selection activeCell="C2" sqref="C2:L2"/>
    </sheetView>
  </sheetViews>
  <sheetFormatPr defaultColWidth="8.7265625" defaultRowHeight="14.5"/>
  <cols>
    <col min="4" max="4" width="12.6328125" customWidth="1"/>
    <col min="5" max="5" width="23" customWidth="1"/>
    <col min="6" max="6" width="10.7265625" customWidth="1"/>
    <col min="7" max="7" width="12" customWidth="1"/>
    <col min="8" max="8" width="15" customWidth="1"/>
    <col min="9" max="9" width="13.7265625" customWidth="1"/>
    <col min="10" max="10" width="11.90625" customWidth="1"/>
    <col min="11" max="11" width="11.453125" customWidth="1"/>
    <col min="12" max="12" width="12.1796875" customWidth="1"/>
  </cols>
  <sheetData>
    <row r="1" spans="1:12" ht="18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6">
      <c r="A2" s="2"/>
      <c r="B2" s="2"/>
      <c r="C2" s="3" t="s">
        <v>2</v>
      </c>
      <c r="D2" s="3" t="s">
        <v>85</v>
      </c>
      <c r="E2" s="4" t="s">
        <v>86</v>
      </c>
      <c r="F2" s="4" t="s">
        <v>87</v>
      </c>
      <c r="G2" s="3" t="s">
        <v>88</v>
      </c>
      <c r="H2" s="3" t="s">
        <v>89</v>
      </c>
      <c r="I2" s="3" t="s">
        <v>90</v>
      </c>
      <c r="J2" s="3" t="s">
        <v>91</v>
      </c>
      <c r="K2" s="4" t="s">
        <v>92</v>
      </c>
      <c r="L2" s="3" t="s">
        <v>93</v>
      </c>
    </row>
    <row r="3" spans="1:12" ht="18">
      <c r="A3" s="2"/>
      <c r="B3" s="2"/>
      <c r="C3" s="5">
        <v>1</v>
      </c>
      <c r="D3" s="6" t="s">
        <v>94</v>
      </c>
      <c r="E3" s="5" t="s">
        <v>95</v>
      </c>
      <c r="F3" s="7">
        <v>300</v>
      </c>
      <c r="G3" s="5">
        <v>130</v>
      </c>
      <c r="H3" s="5">
        <f t="shared" ref="H3:H10" si="0">F3*G3</f>
        <v>39000</v>
      </c>
      <c r="I3" s="5">
        <f t="shared" ref="I3:I11" si="1">IF(MID(D3,4,1)="A",F3+15,IF(MID(D3,4,1)="B",F3+12,F3+10))</f>
        <v>315</v>
      </c>
      <c r="J3" s="5">
        <v>100</v>
      </c>
      <c r="K3" s="5">
        <f t="shared" ref="K3:K11" si="2">I3*J3</f>
        <v>31500</v>
      </c>
      <c r="L3" s="5" t="str">
        <f t="shared" ref="L3:L10" si="3">IF(G3-J3&gt;=60,"Bán chậm",IF(G3-J3&gt;=30,"Bán được","Bán chạy"))</f>
        <v>Bán được</v>
      </c>
    </row>
    <row r="4" spans="1:12" ht="18">
      <c r="A4" s="2"/>
      <c r="B4" s="2"/>
      <c r="C4" s="5">
        <v>2</v>
      </c>
      <c r="D4" s="6" t="s">
        <v>96</v>
      </c>
      <c r="E4" s="5" t="s">
        <v>95</v>
      </c>
      <c r="F4" s="7">
        <v>300</v>
      </c>
      <c r="G4" s="5">
        <v>130</v>
      </c>
      <c r="H4" s="5">
        <f t="shared" si="0"/>
        <v>39000</v>
      </c>
      <c r="I4" s="5">
        <f t="shared" si="1"/>
        <v>310</v>
      </c>
      <c r="J4" s="5">
        <v>100</v>
      </c>
      <c r="K4" s="5">
        <f t="shared" si="2"/>
        <v>31000</v>
      </c>
      <c r="L4" s="5" t="str">
        <f t="shared" si="3"/>
        <v>Bán được</v>
      </c>
    </row>
    <row r="5" spans="1:12" ht="18">
      <c r="A5" s="2"/>
      <c r="B5" s="2"/>
      <c r="C5" s="5">
        <v>3</v>
      </c>
      <c r="D5" s="6" t="s">
        <v>97</v>
      </c>
      <c r="E5" s="5" t="s">
        <v>98</v>
      </c>
      <c r="F5" s="7">
        <v>210</v>
      </c>
      <c r="G5" s="5">
        <v>126</v>
      </c>
      <c r="H5" s="5">
        <f t="shared" si="0"/>
        <v>26460</v>
      </c>
      <c r="I5" s="5">
        <f t="shared" si="1"/>
        <v>222</v>
      </c>
      <c r="J5" s="5">
        <v>85</v>
      </c>
      <c r="K5" s="5">
        <f t="shared" si="2"/>
        <v>18870</v>
      </c>
      <c r="L5" s="5" t="str">
        <f t="shared" si="3"/>
        <v>Bán được</v>
      </c>
    </row>
    <row r="6" spans="1:12" ht="18">
      <c r="A6" s="2"/>
      <c r="B6" s="2"/>
      <c r="C6" s="5">
        <v>4</v>
      </c>
      <c r="D6" s="6" t="s">
        <v>99</v>
      </c>
      <c r="E6" s="5" t="s">
        <v>100</v>
      </c>
      <c r="F6" s="7">
        <v>250</v>
      </c>
      <c r="G6" s="5">
        <v>90</v>
      </c>
      <c r="H6" s="5">
        <f t="shared" si="0"/>
        <v>22500</v>
      </c>
      <c r="I6" s="5">
        <f t="shared" si="1"/>
        <v>260</v>
      </c>
      <c r="J6" s="5">
        <v>60</v>
      </c>
      <c r="K6" s="5">
        <f t="shared" si="2"/>
        <v>15600</v>
      </c>
      <c r="L6" s="5" t="str">
        <f t="shared" si="3"/>
        <v>Bán được</v>
      </c>
    </row>
    <row r="7" spans="1:12" ht="18">
      <c r="A7" s="2"/>
      <c r="B7" s="2"/>
      <c r="C7" s="5">
        <v>5</v>
      </c>
      <c r="D7" s="6" t="s">
        <v>101</v>
      </c>
      <c r="E7" s="5" t="s">
        <v>102</v>
      </c>
      <c r="F7" s="7">
        <v>220</v>
      </c>
      <c r="G7" s="5">
        <v>70</v>
      </c>
      <c r="H7" s="5">
        <f t="shared" si="0"/>
        <v>15400</v>
      </c>
      <c r="I7" s="5">
        <f t="shared" si="1"/>
        <v>230</v>
      </c>
      <c r="J7" s="5">
        <v>30</v>
      </c>
      <c r="K7" s="5">
        <f t="shared" si="2"/>
        <v>6900</v>
      </c>
      <c r="L7" s="5" t="str">
        <f t="shared" si="3"/>
        <v>Bán được</v>
      </c>
    </row>
    <row r="8" spans="1:12" ht="18">
      <c r="A8" s="2"/>
      <c r="B8" s="2"/>
      <c r="C8" s="5">
        <v>6</v>
      </c>
      <c r="D8" s="6" t="s">
        <v>103</v>
      </c>
      <c r="E8" s="5" t="s">
        <v>102</v>
      </c>
      <c r="F8" s="7">
        <v>220</v>
      </c>
      <c r="G8" s="5">
        <v>70</v>
      </c>
      <c r="H8" s="5">
        <f t="shared" si="0"/>
        <v>15400</v>
      </c>
      <c r="I8" s="5">
        <f t="shared" si="1"/>
        <v>235</v>
      </c>
      <c r="J8" s="5">
        <v>30</v>
      </c>
      <c r="K8" s="5">
        <f t="shared" si="2"/>
        <v>7050</v>
      </c>
      <c r="L8" s="5" t="str">
        <f t="shared" si="3"/>
        <v>Bán được</v>
      </c>
    </row>
    <row r="9" spans="1:12" ht="18">
      <c r="A9" s="2"/>
      <c r="B9" s="2"/>
      <c r="C9" s="5">
        <v>7</v>
      </c>
      <c r="D9" s="6" t="s">
        <v>104</v>
      </c>
      <c r="E9" s="5" t="s">
        <v>100</v>
      </c>
      <c r="F9" s="7">
        <v>250</v>
      </c>
      <c r="G9" s="5">
        <v>90</v>
      </c>
      <c r="H9" s="5">
        <f t="shared" si="0"/>
        <v>22500</v>
      </c>
      <c r="I9" s="5">
        <f t="shared" si="1"/>
        <v>262</v>
      </c>
      <c r="J9" s="5">
        <v>60</v>
      </c>
      <c r="K9" s="5">
        <f t="shared" si="2"/>
        <v>15720</v>
      </c>
      <c r="L9" s="5" t="str">
        <f t="shared" si="3"/>
        <v>Bán được</v>
      </c>
    </row>
    <row r="10" spans="1:12" ht="18">
      <c r="A10" s="2"/>
      <c r="B10" s="2"/>
      <c r="C10" s="5">
        <v>8</v>
      </c>
      <c r="D10" s="6" t="s">
        <v>97</v>
      </c>
      <c r="E10" s="5" t="s">
        <v>98</v>
      </c>
      <c r="F10" s="7">
        <v>210</v>
      </c>
      <c r="G10" s="5">
        <v>126</v>
      </c>
      <c r="H10" s="5">
        <f t="shared" si="0"/>
        <v>26460</v>
      </c>
      <c r="I10" s="5">
        <f t="shared" si="1"/>
        <v>222</v>
      </c>
      <c r="J10" s="5">
        <v>85</v>
      </c>
      <c r="K10" s="5">
        <f t="shared" si="2"/>
        <v>18870</v>
      </c>
      <c r="L10" s="5" t="str">
        <f t="shared" si="3"/>
        <v>Bán được</v>
      </c>
    </row>
    <row r="11" spans="1:12" ht="18">
      <c r="A11" s="2"/>
      <c r="B11" s="2"/>
      <c r="C11" s="36" t="s">
        <v>105</v>
      </c>
      <c r="D11" s="36"/>
      <c r="E11" s="36"/>
      <c r="F11" s="8">
        <v>1960</v>
      </c>
      <c r="G11" s="8">
        <f t="shared" ref="G11:H11" si="4">SUM(G3:G10)</f>
        <v>832</v>
      </c>
      <c r="H11" s="8">
        <f t="shared" si="4"/>
        <v>206720</v>
      </c>
      <c r="I11" s="5">
        <f t="shared" si="1"/>
        <v>1970</v>
      </c>
      <c r="J11" s="8">
        <v>550</v>
      </c>
      <c r="K11" s="5">
        <f t="shared" si="2"/>
        <v>1083500</v>
      </c>
      <c r="L11" s="8"/>
    </row>
    <row r="12" spans="1:12" ht="18">
      <c r="A12" s="2"/>
      <c r="B12" s="2"/>
      <c r="C12" s="2"/>
      <c r="D12" s="37" t="s">
        <v>106</v>
      </c>
      <c r="E12" s="37"/>
      <c r="F12" s="37"/>
      <c r="G12" s="37"/>
      <c r="H12" s="37"/>
      <c r="I12" s="13"/>
      <c r="J12" s="13"/>
      <c r="K12" s="2"/>
      <c r="L12" s="2"/>
    </row>
    <row r="13" spans="1:12" ht="18">
      <c r="A13" s="2"/>
      <c r="B13" s="2"/>
      <c r="C13" s="2"/>
      <c r="D13" s="3" t="s">
        <v>85</v>
      </c>
      <c r="E13" s="34" t="s">
        <v>107</v>
      </c>
      <c r="F13" s="34"/>
      <c r="G13" s="34"/>
      <c r="H13" s="3" t="s">
        <v>87</v>
      </c>
      <c r="I13" s="3" t="s">
        <v>88</v>
      </c>
      <c r="J13" s="3" t="s">
        <v>91</v>
      </c>
      <c r="K13" s="2"/>
      <c r="L13" s="2"/>
    </row>
    <row r="14" spans="1:12" ht="18">
      <c r="A14" s="2"/>
      <c r="B14" s="2"/>
      <c r="C14" s="2"/>
      <c r="D14" s="5" t="s">
        <v>108</v>
      </c>
      <c r="E14" s="36" t="s">
        <v>95</v>
      </c>
      <c r="F14" s="36"/>
      <c r="G14" s="36"/>
      <c r="H14" s="9">
        <v>300</v>
      </c>
      <c r="I14" s="5">
        <v>130</v>
      </c>
      <c r="J14" s="7">
        <v>100</v>
      </c>
      <c r="K14" s="2"/>
      <c r="L14" s="2"/>
    </row>
    <row r="15" spans="1:12" ht="18">
      <c r="A15" s="2"/>
      <c r="B15" s="2"/>
      <c r="C15" s="2"/>
      <c r="D15" s="5" t="s">
        <v>109</v>
      </c>
      <c r="E15" s="36" t="s">
        <v>100</v>
      </c>
      <c r="F15" s="36"/>
      <c r="G15" s="36"/>
      <c r="H15" s="9">
        <v>250</v>
      </c>
      <c r="I15" s="5">
        <v>90</v>
      </c>
      <c r="J15" s="7">
        <v>60</v>
      </c>
      <c r="K15" s="2"/>
      <c r="L15" s="2"/>
    </row>
    <row r="16" spans="1:12" ht="18">
      <c r="A16" s="2"/>
      <c r="B16" s="2"/>
      <c r="C16" s="2"/>
      <c r="D16" s="5" t="s">
        <v>110</v>
      </c>
      <c r="E16" s="36" t="s">
        <v>98</v>
      </c>
      <c r="F16" s="36"/>
      <c r="G16" s="36"/>
      <c r="H16" s="9">
        <v>210</v>
      </c>
      <c r="I16" s="5">
        <v>126</v>
      </c>
      <c r="J16" s="7">
        <v>85</v>
      </c>
      <c r="K16" s="2"/>
      <c r="L16" s="2"/>
    </row>
    <row r="17" spans="1:12" ht="18">
      <c r="A17" s="2"/>
      <c r="B17" s="2"/>
      <c r="C17" s="2"/>
      <c r="D17" s="5" t="s">
        <v>111</v>
      </c>
      <c r="E17" s="36" t="s">
        <v>102</v>
      </c>
      <c r="F17" s="36"/>
      <c r="G17" s="36"/>
      <c r="H17" s="9">
        <v>220</v>
      </c>
      <c r="I17" s="5">
        <v>70</v>
      </c>
      <c r="J17" s="7">
        <v>30</v>
      </c>
      <c r="K17" s="2"/>
      <c r="L17" s="2"/>
    </row>
    <row r="18" spans="1:12" ht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8">
      <c r="A20" s="2"/>
      <c r="B20" s="10"/>
      <c r="C20" s="38" t="s">
        <v>112</v>
      </c>
      <c r="D20" s="39"/>
      <c r="E20" s="39"/>
      <c r="F20" s="39"/>
      <c r="G20" s="39"/>
      <c r="H20" s="39"/>
      <c r="I20" s="39"/>
      <c r="J20" s="39"/>
      <c r="K20" s="39"/>
      <c r="L20" s="40"/>
    </row>
    <row r="21" spans="1:12" ht="36">
      <c r="A21" s="2"/>
      <c r="B21" s="10"/>
      <c r="C21" s="11" t="s">
        <v>2</v>
      </c>
      <c r="D21" s="11" t="s">
        <v>85</v>
      </c>
      <c r="E21" s="12" t="s">
        <v>86</v>
      </c>
      <c r="F21" s="12" t="s">
        <v>87</v>
      </c>
      <c r="G21" s="11" t="s">
        <v>88</v>
      </c>
      <c r="H21" s="11" t="s">
        <v>89</v>
      </c>
      <c r="I21" s="11" t="s">
        <v>90</v>
      </c>
      <c r="J21" s="11" t="s">
        <v>91</v>
      </c>
      <c r="K21" s="12" t="s">
        <v>92</v>
      </c>
      <c r="L21" s="11" t="s">
        <v>93</v>
      </c>
    </row>
    <row r="22" spans="1:12" ht="18">
      <c r="A22" s="2"/>
      <c r="B22" s="2"/>
      <c r="C22" s="5">
        <v>1</v>
      </c>
      <c r="D22" s="6" t="s">
        <v>94</v>
      </c>
      <c r="E22" s="5" t="s">
        <v>95</v>
      </c>
      <c r="F22" s="7">
        <v>300</v>
      </c>
      <c r="G22" s="5">
        <v>130</v>
      </c>
      <c r="H22" s="5">
        <v>39000</v>
      </c>
      <c r="I22" s="5">
        <v>315</v>
      </c>
      <c r="J22" s="5">
        <v>100</v>
      </c>
      <c r="K22" s="5">
        <v>31500</v>
      </c>
      <c r="L22" s="5" t="s">
        <v>113</v>
      </c>
    </row>
    <row r="23" spans="1:12" ht="18">
      <c r="A23" s="2"/>
      <c r="B23" s="2"/>
      <c r="C23" s="5">
        <v>2</v>
      </c>
      <c r="D23" s="6" t="s">
        <v>96</v>
      </c>
      <c r="E23" s="5" t="s">
        <v>95</v>
      </c>
      <c r="F23" s="7">
        <v>300</v>
      </c>
      <c r="G23" s="5">
        <v>130</v>
      </c>
      <c r="H23" s="5">
        <v>39000</v>
      </c>
      <c r="I23" s="5">
        <v>310</v>
      </c>
      <c r="J23" s="5">
        <v>100</v>
      </c>
      <c r="K23" s="5">
        <v>31000</v>
      </c>
      <c r="L23" s="5" t="s">
        <v>113</v>
      </c>
    </row>
    <row r="24" spans="1:12" ht="18">
      <c r="A24" s="2"/>
      <c r="B24" s="2"/>
      <c r="C24" s="36" t="s">
        <v>105</v>
      </c>
      <c r="D24" s="36"/>
      <c r="E24" s="36"/>
      <c r="F24" s="8">
        <v>1960</v>
      </c>
      <c r="G24" s="8">
        <v>832</v>
      </c>
      <c r="H24" s="8">
        <v>206720</v>
      </c>
      <c r="I24" s="5">
        <v>1970</v>
      </c>
      <c r="J24" s="8">
        <v>550</v>
      </c>
      <c r="K24" s="5">
        <v>1083500</v>
      </c>
      <c r="L24" s="8"/>
    </row>
  </sheetData>
  <mergeCells count="9">
    <mergeCell ref="E16:G16"/>
    <mergeCell ref="E17:G17"/>
    <mergeCell ref="C20:L20"/>
    <mergeCell ref="C24:E24"/>
    <mergeCell ref="C11:E11"/>
    <mergeCell ref="D12:H12"/>
    <mergeCell ref="E13:G13"/>
    <mergeCell ref="E14:G14"/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2025-12-23T13:44:43Z</dcterms:created>
  <dcterms:modified xsi:type="dcterms:W3CDTF">2025-12-31T01:38:32Z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F6DE7DDBE06049BFA52C6F2883433C40_11</vt:lpwstr>
  </property>
  <property fmtid="{D5CDD505-2E9C-101B-9397-08002B2CF9AE}" pid="3" name="KSOProductBuildVer">
    <vt:lpwstr>1033-12.2.0.23155</vt:lpwstr>
  </property>
</Properties>
</file>