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at\Documents\"/>
    </mc:Choice>
  </mc:AlternateContent>
  <xr:revisionPtr revIDLastSave="0" documentId="13_ncr:1_{BE116AD4-9D2C-4110-8DA7-F71650885A0B}" xr6:coauthVersionLast="47" xr6:coauthVersionMax="47" xr10:uidLastSave="{00000000-0000-0000-0000-000000000000}"/>
  <bookViews>
    <workbookView xWindow="-120" yWindow="-120" windowWidth="20730" windowHeight="11160" xr2:uid="{B2F8C766-36C2-4C8B-B7DD-9FB5C87444F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" l="1"/>
  <c r="F19" i="1"/>
  <c r="G19" i="1"/>
  <c r="E19" i="1"/>
  <c r="F18" i="1"/>
  <c r="G18" i="1"/>
  <c r="E18" i="1"/>
  <c r="F17" i="1"/>
  <c r="G17" i="1"/>
  <c r="E17" i="1"/>
  <c r="H6" i="1"/>
  <c r="H7" i="1"/>
  <c r="H8" i="1"/>
  <c r="J8" i="1"/>
  <c r="K8" i="1"/>
  <c r="H9" i="1"/>
  <c r="H10" i="1"/>
  <c r="H11" i="1"/>
  <c r="H12" i="1"/>
  <c r="H13" i="1"/>
  <c r="H14" i="1"/>
  <c r="H15" i="1"/>
  <c r="H16" i="1"/>
  <c r="I16" i="1"/>
  <c r="H5" i="1"/>
  <c r="J65" i="1"/>
  <c r="G58" i="1"/>
  <c r="I58" i="1"/>
  <c r="F59" i="1"/>
  <c r="F60" i="1"/>
  <c r="F61" i="1"/>
  <c r="F62" i="1"/>
  <c r="F63" i="1"/>
  <c r="F64" i="1"/>
  <c r="F65" i="1"/>
  <c r="F58" i="1"/>
  <c r="E59" i="1"/>
  <c r="E60" i="1"/>
  <c r="E61" i="1"/>
  <c r="E62" i="1"/>
  <c r="E63" i="1"/>
  <c r="J63" i="1"/>
  <c r="E64" i="1"/>
  <c r="E65" i="1"/>
  <c r="E58" i="1"/>
  <c r="D59" i="1"/>
  <c r="D60" i="1"/>
  <c r="D61" i="1"/>
  <c r="D62" i="1"/>
  <c r="D63" i="1"/>
  <c r="D64" i="1"/>
  <c r="D65" i="1"/>
  <c r="C59" i="1"/>
  <c r="C60" i="1"/>
  <c r="C61" i="1"/>
  <c r="C62" i="1"/>
  <c r="C63" i="1"/>
  <c r="C64" i="1"/>
  <c r="C65" i="1"/>
  <c r="C58" i="1"/>
  <c r="H59" i="1"/>
  <c r="H58" i="1"/>
  <c r="H60" i="1"/>
  <c r="H61" i="1"/>
  <c r="J61" i="1"/>
  <c r="H62" i="1"/>
  <c r="H63" i="1"/>
  <c r="H64" i="1"/>
  <c r="H65" i="1"/>
  <c r="G59" i="1"/>
  <c r="G60" i="1"/>
  <c r="G61" i="1"/>
  <c r="G62" i="1"/>
  <c r="G63" i="1"/>
  <c r="G64" i="1"/>
  <c r="G65" i="1"/>
  <c r="I65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G36" i="1"/>
  <c r="H36" i="1"/>
  <c r="G37" i="1"/>
  <c r="G38" i="1"/>
  <c r="H38" i="1"/>
  <c r="G39" i="1"/>
  <c r="G40" i="1"/>
  <c r="G41" i="1"/>
  <c r="H41" i="1"/>
  <c r="G42" i="1"/>
  <c r="H42" i="1"/>
  <c r="G43" i="1"/>
  <c r="H43" i="1"/>
  <c r="G44" i="1"/>
  <c r="H44" i="1"/>
  <c r="G45" i="1"/>
  <c r="G46" i="1"/>
  <c r="G47" i="1"/>
  <c r="H47" i="1"/>
  <c r="G48" i="1"/>
  <c r="G49" i="1"/>
  <c r="G35" i="1"/>
  <c r="H26" i="1"/>
  <c r="H27" i="1"/>
  <c r="H28" i="1"/>
  <c r="H29" i="1"/>
  <c r="H30" i="1"/>
  <c r="H25" i="1"/>
  <c r="F25" i="1"/>
  <c r="G26" i="1"/>
  <c r="G27" i="1"/>
  <c r="G28" i="1"/>
  <c r="G29" i="1"/>
  <c r="G30" i="1"/>
  <c r="G25" i="1"/>
  <c r="F26" i="1"/>
  <c r="F27" i="1"/>
  <c r="F28" i="1"/>
  <c r="F29" i="1"/>
  <c r="F30" i="1"/>
  <c r="J59" i="1"/>
  <c r="J62" i="1"/>
  <c r="J64" i="1"/>
  <c r="J15" i="1"/>
  <c r="K15" i="1"/>
  <c r="J7" i="1"/>
  <c r="K7" i="1"/>
  <c r="H19" i="1"/>
  <c r="J13" i="1"/>
  <c r="K13" i="1"/>
  <c r="I59" i="1"/>
  <c r="J12" i="1"/>
  <c r="K12" i="1"/>
  <c r="J14" i="1"/>
  <c r="K14" i="1"/>
  <c r="J58" i="1"/>
  <c r="J11" i="1"/>
  <c r="K11" i="1"/>
  <c r="J6" i="1"/>
  <c r="K6" i="1"/>
  <c r="J60" i="1"/>
  <c r="J10" i="1"/>
  <c r="K10" i="1"/>
  <c r="J9" i="1"/>
  <c r="K9" i="1"/>
  <c r="I5" i="1"/>
  <c r="I15" i="1"/>
  <c r="I64" i="1"/>
  <c r="H66" i="1"/>
  <c r="G66" i="1"/>
  <c r="I14" i="1"/>
  <c r="J5" i="1"/>
  <c r="K5" i="1"/>
  <c r="H17" i="1"/>
  <c r="I13" i="1"/>
  <c r="I62" i="1"/>
  <c r="I12" i="1"/>
  <c r="H18" i="1"/>
  <c r="J16" i="1"/>
  <c r="K16" i="1"/>
  <c r="I10" i="1"/>
  <c r="I9" i="1"/>
  <c r="I8" i="1"/>
  <c r="I61" i="1"/>
  <c r="I11" i="1"/>
  <c r="I60" i="1"/>
  <c r="I7" i="1"/>
  <c r="J47" i="1"/>
  <c r="I6" i="1"/>
  <c r="I63" i="1"/>
  <c r="F66" i="1"/>
  <c r="E66" i="1"/>
  <c r="G51" i="1"/>
  <c r="H35" i="1"/>
  <c r="J35" i="1"/>
  <c r="G50" i="1"/>
  <c r="J43" i="1"/>
  <c r="H49" i="1"/>
  <c r="J49" i="1"/>
  <c r="H37" i="1"/>
  <c r="J37" i="1"/>
  <c r="J42" i="1"/>
  <c r="H48" i="1"/>
  <c r="J48" i="1"/>
  <c r="J38" i="1"/>
  <c r="H40" i="1"/>
  <c r="J40" i="1"/>
  <c r="H39" i="1"/>
  <c r="J39" i="1"/>
  <c r="J36" i="1"/>
  <c r="J41" i="1"/>
  <c r="G53" i="1"/>
  <c r="J44" i="1"/>
  <c r="H46" i="1"/>
  <c r="J46" i="1"/>
  <c r="G52" i="1"/>
  <c r="H45" i="1"/>
  <c r="I53" i="1"/>
  <c r="I52" i="1"/>
  <c r="I50" i="1"/>
  <c r="I51" i="1"/>
  <c r="I66" i="1"/>
  <c r="H53" i="1"/>
  <c r="H51" i="1"/>
  <c r="H50" i="1"/>
  <c r="H52" i="1"/>
  <c r="J45" i="1"/>
  <c r="J52" i="1"/>
  <c r="J53" i="1"/>
  <c r="J51" i="1"/>
  <c r="J50" i="1"/>
</calcChain>
</file>

<file path=xl/sharedStrings.xml><?xml version="1.0" encoding="utf-8"?>
<sst xmlns="http://schemas.openxmlformats.org/spreadsheetml/2006/main" count="153" uniqueCount="117">
  <si>
    <t>Bảng tính 2:</t>
  </si>
  <si>
    <t>STT</t>
  </si>
  <si>
    <t>HỌ</t>
  </si>
  <si>
    <t>TÊN</t>
  </si>
  <si>
    <t>NGÀY CÔNG</t>
  </si>
  <si>
    <t>THƯỞNG 8-3</t>
  </si>
  <si>
    <t>THƯỞNG A</t>
  </si>
  <si>
    <t>Trần Thanh</t>
  </si>
  <si>
    <t>Tuấn</t>
  </si>
  <si>
    <t>Phạm Hùng</t>
  </si>
  <si>
    <t>Cường</t>
  </si>
  <si>
    <t>Lê Ngọc</t>
  </si>
  <si>
    <t>Xuân</t>
  </si>
  <si>
    <t>Phạm Thanh</t>
  </si>
  <si>
    <t>Long</t>
  </si>
  <si>
    <t>Phạm Hoài</t>
  </si>
  <si>
    <t>Nam</t>
  </si>
  <si>
    <t>Lê Thanh</t>
  </si>
  <si>
    <t>Lan</t>
  </si>
  <si>
    <t>NAM</t>
  </si>
  <si>
    <t>THƯỞNG B</t>
  </si>
  <si>
    <t>Bảng tính 3:</t>
  </si>
  <si>
    <t>HỌ VÀ TÊN</t>
  </si>
  <si>
    <t>CHỨC VỤ</t>
  </si>
  <si>
    <t>NĂM SINH</t>
  </si>
  <si>
    <t>LCB</t>
  </si>
  <si>
    <t>NGÀY</t>
  </si>
  <si>
    <t>LƯƠNG</t>
  </si>
  <si>
    <t>TẠM ỨNG</t>
  </si>
  <si>
    <t>TỔNG CỘNG</t>
  </si>
  <si>
    <t>BÌNH QUÂN</t>
  </si>
  <si>
    <t>CAO NHẤT</t>
  </si>
  <si>
    <t>THẤP NHẤT</t>
  </si>
  <si>
    <t>Nguyễn Văn Tâm</t>
  </si>
  <si>
    <t>Nguyễn Thị Hằng</t>
  </si>
  <si>
    <t>Ngõ Thị Nga</t>
  </si>
  <si>
    <t>Trần Thiên Thu</t>
  </si>
  <si>
    <t>Lâm Hoàng Cát</t>
  </si>
  <si>
    <t>Lê Hoài Sơn</t>
  </si>
  <si>
    <t>Lý Lâm</t>
  </si>
  <si>
    <t>Trần Văn Trung</t>
  </si>
  <si>
    <t>Nguyễn Văn Trang</t>
  </si>
  <si>
    <t>Lý Thu Nga</t>
  </si>
  <si>
    <t>Nguyễn Văn Hùng</t>
  </si>
  <si>
    <t>Trần Thị Phương</t>
  </si>
  <si>
    <t>Võ Tân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</si>
  <si>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</si>
  <si>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</si>
  <si>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</si>
  <si>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</si>
  <si>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</si>
  <si>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</si>
  <si>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</si>
  <si>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</si>
  <si>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</si>
  <si>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THƯỞNG</t>
  </si>
  <si>
    <t>CÒN LẠI</t>
  </si>
  <si>
    <t>Bảng tính 4:</t>
  </si>
  <si>
    <t>MÃ HÀNG</t>
  </si>
  <si>
    <t>TÊN HÀNG</t>
  </si>
  <si>
    <t>GIÁ NHẬP</t>
  </si>
  <si>
    <t>SL NHẬP</t>
  </si>
  <si>
    <t>TIỀN NHẬP</t>
  </si>
  <si>
    <t>SL XUẤT</t>
  </si>
  <si>
    <t>TIỀN XUẤT</t>
  </si>
  <si>
    <t>GHI CHÚ</t>
  </si>
  <si>
    <t>Cộng</t>
  </si>
  <si>
    <t>Pa0A12</t>
  </si>
  <si>
    <t>Pa0C15</t>
  </si>
  <si>
    <t>Sa0B2</t>
  </si>
  <si>
    <t>To0C23</t>
  </si>
  <si>
    <t>Hi0C12</t>
  </si>
  <si>
    <t>Hi0A13</t>
  </si>
  <si>
    <t>To0B12</t>
  </si>
  <si>
    <t>Bảng tra dữ liệu các loại máy lạnh:</t>
  </si>
  <si>
    <t>GIA NHẬP</t>
  </si>
  <si>
    <t>Pa</t>
  </si>
  <si>
    <t>To</t>
  </si>
  <si>
    <t>Sa</t>
  </si>
  <si>
    <t>Hi</t>
  </si>
  <si>
    <t>Máy lạnh Panasonic</t>
  </si>
  <si>
    <t>Máy lạnh Toshiba</t>
  </si>
  <si>
    <t>Mays lạnh Sanyo</t>
  </si>
  <si>
    <t>Máy lạnh Hitachi</t>
  </si>
  <si>
    <t>300$</t>
  </si>
  <si>
    <t>250$</t>
  </si>
  <si>
    <t>210$</t>
  </si>
  <si>
    <t>220$</t>
  </si>
  <si>
    <t>GIÁ XUẤT</t>
  </si>
  <si>
    <t>Bảng tính 1</t>
  </si>
  <si>
    <t>KẾT QUẢ THI CUỐI KHÓA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</si>
  <si>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</si>
  <si>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</si>
  <si>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</si>
  <si>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</si>
  <si>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</si>
  <si>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</si>
  <si>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</si>
  <si>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</si>
  <si>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</si>
  <si>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LÂM</t>
  </si>
  <si>
    <t>HẢI</t>
  </si>
  <si>
    <t>HIỆP</t>
  </si>
  <si>
    <t>THẢO</t>
  </si>
  <si>
    <t>MINH</t>
  </si>
  <si>
    <t>HỒNG</t>
  </si>
  <si>
    <t>LINH</t>
  </si>
  <si>
    <t>DIỄM</t>
  </si>
  <si>
    <t>NGA</t>
  </si>
  <si>
    <t>KHOA</t>
  </si>
  <si>
    <t>SƠN</t>
  </si>
  <si>
    <t>TRUNG BÌNH</t>
  </si>
  <si>
    <t>KHEN THƯỞNG</t>
  </si>
  <si>
    <t xml:space="preserve"> </t>
  </si>
  <si>
    <t xml:space="preserve">   </t>
  </si>
  <si>
    <t>Danh sách thưởng tháng 03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</si>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</sst>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1" fontId="1" fillId="0" borderId="1" xfId="0" applyNumberFormat="1" applyFont="1" applyBorder="1"/>
    <xf numFmtId="0" fontId="1" fillId="0" borderId="5" xfId="0" applyFont="1" applyBorder="1"/>
    <xf numFmtId="164" fontId="1" fillId="0" borderId="1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164" fontId="1" fillId="0" borderId="7" xfId="0" applyNumberFormat="1" applyFont="1" applyBorder="1"/>
    <xf numFmtId="164" fontId="1" fillId="0" borderId="12" xfId="0" applyNumberFormat="1" applyFont="1" applyBorder="1"/>
    <xf numFmtId="0" fontId="1" fillId="0" borderId="12" xfId="0" applyFont="1" applyBorder="1"/>
    <xf numFmtId="0" fontId="1" fillId="0" borderId="13" xfId="0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7" fillId="0" borderId="0" xfId="0" applyFont="1"/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8" fillId="0" borderId="0" xfId="0" applyFont="1"/>
    <xf numFmtId="0" fontId="6" fillId="2" borderId="2" xfId="0" applyFont="1" applyFill="1" applyBorder="1" applyAlignment="1"/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9" fillId="0" borderId="0" xfId="0" applyFont="1" applyAlignment="1"/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5" fillId="2" borderId="1" xfId="0" applyFont="1" applyFill="1" applyBorder="1" applyAlignment="1">
      <alignment horizontal="center"/>
    </xf>
    <xf numFmtId="0" fontId="4" fillId="0" borderId="0" xfId="0" applyFont="1"/>
    <xf numFmtId="0" fontId="5" fillId="0" borderId="4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CC42-2AC3-46A0-A6AC-B590A69DB36A}">
  <dimension ref="A1:K73"/>
  <sheetViews>
    <sheetView tabSelected="1" workbookViewId="0">
      <selection activeCell="H32" sqref="H32"/>
    </sheetView>
  </sheetViews>
  <sheetFormatPr defaultColWidth="8.85546875" defaultRowHeight="16.5" x14ac:dyDescent="0.25"/>
  <cols>
    <col min="1" max="1" width="9.5703125" style="1" customWidth="1"/>
    <col min="2" max="2" width="23.28515625" style="1" customWidth="1"/>
    <col min="3" max="3" width="20.7109375" style="1" bestFit="1" customWidth="1"/>
    <col min="4" max="4" width="15.28515625" style="1" customWidth="1"/>
    <col min="5" max="5" width="16" style="1" bestFit="1" customWidth="1"/>
    <col min="6" max="6" width="15.42578125" style="1" bestFit="1" customWidth="1"/>
    <col min="7" max="7" width="15" style="1" bestFit="1" customWidth="1"/>
    <col min="8" max="8" width="14.5703125" style="1" bestFit="1" customWidth="1"/>
    <col min="9" max="9" width="12.140625" style="1" bestFit="1" customWidth="1"/>
    <col min="10" max="10" width="14.5703125" style="1" bestFit="1" customWidth="1"/>
    <col min="11" max="11" width="20.42578125" style="1" bestFit="1" customWidth="1"/>
    <col min="12" max="16384" width="8.85546875" style="1"/>
  </cols>
  <sheetData>
    <row r="1" spans="1:11" ht="18.75" x14ac:dyDescent="0.3">
      <c r="A1" s="27" t="s">
        <v>89</v>
      </c>
    </row>
    <row r="2" spans="1:11" ht="17.25" thickBot="1" x14ac:dyDescent="0.3"/>
    <row r="3" spans="1:11" ht="24" thickTop="1" thickBot="1" x14ac:dyDescent="0.35">
      <c r="A3" s="26" t="s">
        <v>90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s="31" customFormat="1" ht="38.25" thickTop="1" x14ac:dyDescent="0.3">
      <c r="A4" s="28" t="s">
        <v>1</v>
      </c>
      <c r="B4" s="29" t="s">
        <v>91</v>
      </c>
      <c r="C4" s="29" t="s">
        <v>92</v>
      </c>
      <c r="D4" s="29" t="s">
        <v>93</v>
      </c>
      <c r="E4" s="29" t="s">
        <v>94</v>
      </c>
      <c r="F4" s="29" t="s">
        <v>95</v>
      </c>
      <c r="G4" s="29" t="s">
        <v>96</v>
      </c>
      <c r="H4" s="29" t="s">
        <v>97</v>
      </c>
      <c r="I4" s="29" t="s">
        <v>98</v>
      </c>
      <c r="J4" s="29" t="s">
        <v>99</v>
      </c>
      <c r="K4" s="30" t="s">
        <v>112</v>
      </c>
    </row>
    <row r="5" spans="1:11" x14ac:dyDescent="0.25">
      <c r="A5" s="9">
        <v>1</v>
      </c>
      <c r="B5" s="4" t="s">
        <v>100</v>
      </c>
      <c r="C5" s="4" t="s">
        <v>16</v>
      </c>
      <c r="D5" s="4">
        <v>1988</v>
      </c>
      <c r="E5" s="8">
        <v>10</v>
      </c>
      <c r="F5" s="8">
        <v>8</v>
      </c>
      <c r="G5" s="8">
        <v>9</v>
      </c>
      <c r="H5" s="8">
        <f>AVERAGE(E5*2+F5*2+G5)/5</f>
        <v>9</v>
      </c>
      <c r="I5" s="4" t="str">
        <f>IF(H5&gt;=5,"Đạt","Rớt")</f>
        <v>Đạt</v>
      </c>
      <c r="J5" s="4">
        <f>RANK(H5,$H$5:$H$16,0)</f>
        <v>1</v>
      </c>
      <c r="K5" s="10">
        <f>IF(J5=1,200000,IF(J5=2,100000,"Không được thưởng"))</f>
        <v>200000</v>
      </c>
    </row>
    <row r="6" spans="1:11" x14ac:dyDescent="0.25">
      <c r="A6" s="9">
        <v>2</v>
      </c>
      <c r="B6" s="4" t="s">
        <v>101</v>
      </c>
      <c r="C6" s="4" t="s">
        <v>16</v>
      </c>
      <c r="D6" s="4">
        <v>1987</v>
      </c>
      <c r="E6" s="8">
        <v>8</v>
      </c>
      <c r="F6" s="8">
        <v>8.5</v>
      </c>
      <c r="G6" s="8">
        <v>9</v>
      </c>
      <c r="H6" s="8">
        <f t="shared" ref="H6:H16" si="0">AVERAGE(E6*2+F6*2+G6)/5</f>
        <v>8.4</v>
      </c>
      <c r="I6" s="4" t="str">
        <f t="shared" ref="I6:I16" si="1">IF(H6&gt;=5,"Đạt","Rớt")</f>
        <v>Đạt</v>
      </c>
      <c r="J6" s="4">
        <f t="shared" ref="J6:J16" si="2">RANK(H6,$H$5:$H$16,0)</f>
        <v>2</v>
      </c>
      <c r="K6" s="10">
        <f t="shared" ref="K6:K16" si="3">IF(J6=1,200000,IF(J6=2,100000,"Không được thưởng"))</f>
        <v>100000</v>
      </c>
    </row>
    <row r="7" spans="1:11" x14ac:dyDescent="0.25">
      <c r="A7" s="9">
        <v>3</v>
      </c>
      <c r="B7" s="4" t="s">
        <v>102</v>
      </c>
      <c r="C7" s="4" t="s">
        <v>16</v>
      </c>
      <c r="D7" s="4">
        <v>1986</v>
      </c>
      <c r="E7" s="8">
        <v>9</v>
      </c>
      <c r="F7" s="8">
        <v>8</v>
      </c>
      <c r="G7" s="8">
        <v>7</v>
      </c>
      <c r="H7" s="8">
        <f t="shared" si="0"/>
        <v>8.1999999999999993</v>
      </c>
      <c r="I7" s="4" t="str">
        <f t="shared" si="1"/>
        <v>Đạt</v>
      </c>
      <c r="J7" s="4">
        <f t="shared" si="2"/>
        <v>3</v>
      </c>
      <c r="K7" s="10" t="str">
        <f t="shared" si="3"/>
        <v>Không được thưởng</v>
      </c>
    </row>
    <row r="8" spans="1:11" x14ac:dyDescent="0.25">
      <c r="A8" s="9">
        <v>4</v>
      </c>
      <c r="B8" s="4" t="s">
        <v>103</v>
      </c>
      <c r="C8" s="4" t="s">
        <v>116</v>
      </c>
      <c r="D8" s="4">
        <v>1988</v>
      </c>
      <c r="E8" s="8">
        <v>10</v>
      </c>
      <c r="F8" s="8">
        <v>4</v>
      </c>
      <c r="G8" s="8">
        <v>7</v>
      </c>
      <c r="H8" s="8">
        <f t="shared" si="0"/>
        <v>7</v>
      </c>
      <c r="I8" s="4" t="str">
        <f t="shared" si="1"/>
        <v>Đạt</v>
      </c>
      <c r="J8" s="4">
        <f t="shared" si="2"/>
        <v>4</v>
      </c>
      <c r="K8" s="10" t="str">
        <f t="shared" si="3"/>
        <v>Không được thưởng</v>
      </c>
    </row>
    <row r="9" spans="1:11" x14ac:dyDescent="0.25">
      <c r="A9" s="9">
        <v>5</v>
      </c>
      <c r="B9" s="4" t="s">
        <v>104</v>
      </c>
      <c r="C9" s="4" t="s">
        <v>16</v>
      </c>
      <c r="D9" s="4">
        <v>1988</v>
      </c>
      <c r="E9" s="8">
        <v>9</v>
      </c>
      <c r="F9" s="8">
        <v>5</v>
      </c>
      <c r="G9" s="8">
        <v>6</v>
      </c>
      <c r="H9" s="8">
        <f t="shared" si="0"/>
        <v>6.8</v>
      </c>
      <c r="I9" s="4" t="str">
        <f t="shared" si="1"/>
        <v>Đạt</v>
      </c>
      <c r="J9" s="4">
        <f t="shared" si="2"/>
        <v>5</v>
      </c>
      <c r="K9" s="10" t="str">
        <f t="shared" si="3"/>
        <v>Không được thưởng</v>
      </c>
    </row>
    <row r="10" spans="1:11" x14ac:dyDescent="0.25">
      <c r="A10" s="9">
        <v>6</v>
      </c>
      <c r="B10" s="4" t="s">
        <v>105</v>
      </c>
      <c r="C10" s="4" t="s">
        <v>116</v>
      </c>
      <c r="D10" s="4">
        <v>1987</v>
      </c>
      <c r="E10" s="8">
        <v>6</v>
      </c>
      <c r="F10" s="8">
        <v>6</v>
      </c>
      <c r="G10" s="8">
        <v>8</v>
      </c>
      <c r="H10" s="8">
        <f t="shared" si="0"/>
        <v>6.4</v>
      </c>
      <c r="I10" s="4" t="str">
        <f t="shared" si="1"/>
        <v>Đạt</v>
      </c>
      <c r="J10" s="4">
        <f t="shared" si="2"/>
        <v>6</v>
      </c>
      <c r="K10" s="10" t="str">
        <f t="shared" si="3"/>
        <v>Không được thưởng</v>
      </c>
    </row>
    <row r="11" spans="1:11" x14ac:dyDescent="0.25">
      <c r="A11" s="9">
        <v>7</v>
      </c>
      <c r="B11" s="4" t="s">
        <v>106</v>
      </c>
      <c r="C11" s="4" t="s">
        <v>16</v>
      </c>
      <c r="D11" s="4">
        <v>1986</v>
      </c>
      <c r="E11" s="8">
        <v>7.5</v>
      </c>
      <c r="F11" s="8">
        <v>5</v>
      </c>
      <c r="G11" s="8">
        <v>6</v>
      </c>
      <c r="H11" s="8">
        <f t="shared" si="0"/>
        <v>6.2</v>
      </c>
      <c r="I11" s="4" t="str">
        <f t="shared" si="1"/>
        <v>Đạt</v>
      </c>
      <c r="J11" s="4">
        <f t="shared" si="2"/>
        <v>7</v>
      </c>
      <c r="K11" s="10" t="str">
        <f t="shared" si="3"/>
        <v>Không được thưởng</v>
      </c>
    </row>
    <row r="12" spans="1:11" x14ac:dyDescent="0.25">
      <c r="A12" s="9">
        <v>8</v>
      </c>
      <c r="B12" s="4" t="s">
        <v>19</v>
      </c>
      <c r="C12" s="4" t="s">
        <v>16</v>
      </c>
      <c r="D12" s="4">
        <v>1988</v>
      </c>
      <c r="E12" s="8">
        <v>3</v>
      </c>
      <c r="F12" s="8">
        <v>9</v>
      </c>
      <c r="G12" s="8">
        <v>7</v>
      </c>
      <c r="H12" s="8">
        <f t="shared" si="0"/>
        <v>6.2</v>
      </c>
      <c r="I12" s="4" t="str">
        <f t="shared" si="1"/>
        <v>Đạt</v>
      </c>
      <c r="J12" s="4">
        <f t="shared" si="2"/>
        <v>7</v>
      </c>
      <c r="K12" s="10" t="str">
        <f t="shared" si="3"/>
        <v>Không được thưởng</v>
      </c>
    </row>
    <row r="13" spans="1:11" x14ac:dyDescent="0.25">
      <c r="A13" s="9">
        <v>9</v>
      </c>
      <c r="B13" s="4" t="s">
        <v>107</v>
      </c>
      <c r="C13" s="4" t="s">
        <v>116</v>
      </c>
      <c r="D13" s="4">
        <v>1988</v>
      </c>
      <c r="E13" s="8">
        <v>4</v>
      </c>
      <c r="F13" s="8">
        <v>5</v>
      </c>
      <c r="G13" s="8">
        <v>5.5</v>
      </c>
      <c r="H13" s="8">
        <f t="shared" si="0"/>
        <v>4.7</v>
      </c>
      <c r="I13" s="4" t="str">
        <f t="shared" si="1"/>
        <v>Rớt</v>
      </c>
      <c r="J13" s="4">
        <f t="shared" si="2"/>
        <v>10</v>
      </c>
      <c r="K13" s="10" t="str">
        <f t="shared" si="3"/>
        <v>Không được thưởng</v>
      </c>
    </row>
    <row r="14" spans="1:11" x14ac:dyDescent="0.25">
      <c r="A14" s="9">
        <v>10</v>
      </c>
      <c r="B14" s="4" t="s">
        <v>108</v>
      </c>
      <c r="C14" s="4" t="s">
        <v>116</v>
      </c>
      <c r="D14" s="4">
        <v>1988</v>
      </c>
      <c r="E14" s="8">
        <v>4.5</v>
      </c>
      <c r="F14" s="8">
        <v>6</v>
      </c>
      <c r="G14" s="8">
        <v>4</v>
      </c>
      <c r="H14" s="8">
        <f t="shared" si="0"/>
        <v>5</v>
      </c>
      <c r="I14" s="4" t="str">
        <f t="shared" si="1"/>
        <v>Đạt</v>
      </c>
      <c r="J14" s="4">
        <f t="shared" si="2"/>
        <v>9</v>
      </c>
      <c r="K14" s="10" t="str">
        <f t="shared" si="3"/>
        <v>Không được thưởng</v>
      </c>
    </row>
    <row r="15" spans="1:11" x14ac:dyDescent="0.25">
      <c r="A15" s="9">
        <v>11</v>
      </c>
      <c r="B15" s="4" t="s">
        <v>109</v>
      </c>
      <c r="C15" s="4" t="s">
        <v>16</v>
      </c>
      <c r="D15" s="4">
        <v>1987</v>
      </c>
      <c r="E15" s="8">
        <v>3</v>
      </c>
      <c r="F15" s="8">
        <v>5</v>
      </c>
      <c r="G15" s="8">
        <v>5</v>
      </c>
      <c r="H15" s="8">
        <f t="shared" si="0"/>
        <v>4.2</v>
      </c>
      <c r="I15" s="4" t="str">
        <f t="shared" si="1"/>
        <v>Rớt</v>
      </c>
      <c r="J15" s="4">
        <f t="shared" si="2"/>
        <v>11</v>
      </c>
      <c r="K15" s="10" t="str">
        <f t="shared" si="3"/>
        <v>Không được thưởng</v>
      </c>
    </row>
    <row r="16" spans="1:11" x14ac:dyDescent="0.25">
      <c r="A16" s="9">
        <v>12</v>
      </c>
      <c r="B16" s="4" t="s">
        <v>110</v>
      </c>
      <c r="C16" s="4" t="s">
        <v>16</v>
      </c>
      <c r="D16" s="4">
        <v>1986</v>
      </c>
      <c r="E16" s="8">
        <v>4</v>
      </c>
      <c r="F16" s="8">
        <v>3</v>
      </c>
      <c r="G16" s="8">
        <v>5</v>
      </c>
      <c r="H16" s="8">
        <f t="shared" si="0"/>
        <v>3.8</v>
      </c>
      <c r="I16" s="4" t="str">
        <f t="shared" si="1"/>
        <v>Rớt</v>
      </c>
      <c r="J16" s="4">
        <f t="shared" si="2"/>
        <v>12</v>
      </c>
      <c r="K16" s="10" t="str">
        <f t="shared" si="3"/>
        <v>Không được thưởng</v>
      </c>
    </row>
    <row r="17" spans="1:11" x14ac:dyDescent="0.25">
      <c r="A17" s="20" t="s">
        <v>111</v>
      </c>
      <c r="B17" s="21"/>
      <c r="C17" s="21"/>
      <c r="D17" s="22"/>
      <c r="E17" s="8">
        <f>AVERAGE(E5:E16)</f>
        <v>6.5</v>
      </c>
      <c r="F17" s="8">
        <f t="shared" ref="F17:H17" si="4">AVERAGE(F5:F16)</f>
        <v>6.041666666666667</v>
      </c>
      <c r="G17" s="8">
        <f t="shared" si="4"/>
        <v>6.541666666666667</v>
      </c>
      <c r="H17" s="8">
        <f t="shared" si="4"/>
        <v>6.3250000000000002</v>
      </c>
      <c r="I17" s="8"/>
      <c r="J17" s="8"/>
      <c r="K17" s="11"/>
    </row>
    <row r="18" spans="1:11" x14ac:dyDescent="0.25">
      <c r="A18" s="20" t="s">
        <v>31</v>
      </c>
      <c r="B18" s="21"/>
      <c r="C18" s="21"/>
      <c r="D18" s="22"/>
      <c r="E18" s="8">
        <f>MAX(E5:E16)</f>
        <v>10</v>
      </c>
      <c r="F18" s="8">
        <f t="shared" ref="F18:H18" si="5">MAX(F5:F16)</f>
        <v>9</v>
      </c>
      <c r="G18" s="8">
        <f t="shared" si="5"/>
        <v>9</v>
      </c>
      <c r="H18" s="8">
        <f t="shared" si="5"/>
        <v>9</v>
      </c>
      <c r="I18" s="8"/>
      <c r="J18" s="8"/>
      <c r="K18" s="11"/>
    </row>
    <row r="19" spans="1:11" ht="17.25" thickBot="1" x14ac:dyDescent="0.3">
      <c r="A19" s="23" t="s">
        <v>32</v>
      </c>
      <c r="B19" s="24"/>
      <c r="C19" s="24"/>
      <c r="D19" s="25"/>
      <c r="E19" s="12">
        <f>MIN(E5:E16)</f>
        <v>3</v>
      </c>
      <c r="F19" s="12">
        <f t="shared" ref="F19:H19" si="6">MIN(F5:F16)</f>
        <v>3</v>
      </c>
      <c r="G19" s="12">
        <f t="shared" si="6"/>
        <v>4</v>
      </c>
      <c r="H19" s="12">
        <f t="shared" si="6"/>
        <v>3.8</v>
      </c>
      <c r="I19" s="13"/>
      <c r="J19" s="13"/>
      <c r="K19" s="14"/>
    </row>
    <row r="20" spans="1:11" ht="17.25" thickTop="1" x14ac:dyDescent="0.25"/>
    <row r="21" spans="1:11" ht="18.75" x14ac:dyDescent="0.3">
      <c r="A21" s="27" t="s">
        <v>0</v>
      </c>
    </row>
    <row r="23" spans="1:11" s="35" customFormat="1" ht="23.25" x14ac:dyDescent="0.35">
      <c r="A23" s="32" t="s">
        <v>114</v>
      </c>
      <c r="B23" s="33" t="s">
        <v>113</v>
      </c>
      <c r="C23" s="33" t="s">
        <v>115</v>
      </c>
      <c r="D23" s="33"/>
      <c r="E23" s="33"/>
      <c r="F23" s="33"/>
      <c r="G23" s="33"/>
      <c r="H23" s="34"/>
    </row>
    <row r="24" spans="1:11" s="31" customFormat="1" ht="18.75" x14ac:dyDescent="0.3">
      <c r="A24" s="36" t="s">
        <v>1</v>
      </c>
      <c r="B24" s="36" t="s">
        <v>2</v>
      </c>
      <c r="C24" s="36" t="s">
        <v>3</v>
      </c>
      <c r="D24" s="36" t="s">
        <v>92</v>
      </c>
      <c r="E24" s="36" t="s">
        <v>4</v>
      </c>
      <c r="F24" s="36" t="s">
        <v>5</v>
      </c>
      <c r="G24" s="36" t="s">
        <v>6</v>
      </c>
      <c r="H24" s="36" t="s">
        <v>20</v>
      </c>
    </row>
    <row r="25" spans="1:11" x14ac:dyDescent="0.25">
      <c r="A25" s="4">
        <v>1</v>
      </c>
      <c r="B25" s="3" t="s">
        <v>7</v>
      </c>
      <c r="C25" s="3" t="s">
        <v>8</v>
      </c>
      <c r="D25" s="4" t="s">
        <v>16</v>
      </c>
      <c r="E25" s="3">
        <v>25</v>
      </c>
      <c r="F25" s="3">
        <f t="shared" ref="F25:F30" si="7">IF(D25="NỮ",200000,0)</f>
        <v>0</v>
      </c>
      <c r="G25" s="3">
        <f t="shared" ref="G25:G30" si="8">IF(E25&gt;=24,300000,0)</f>
        <v>300000</v>
      </c>
      <c r="H25" s="3">
        <f t="shared" ref="H25:H30" si="9">IF(OR(AND(D25="NAM",E25&gt;26),AND(D25="NỮ",E25&gt;25)),100000,0)</f>
        <v>0</v>
      </c>
    </row>
    <row r="26" spans="1:11" x14ac:dyDescent="0.25">
      <c r="A26" s="4">
        <v>2</v>
      </c>
      <c r="B26" s="3" t="s">
        <v>9</v>
      </c>
      <c r="C26" s="3" t="s">
        <v>10</v>
      </c>
      <c r="D26" s="4" t="s">
        <v>16</v>
      </c>
      <c r="E26" s="3">
        <v>24</v>
      </c>
      <c r="F26" s="3">
        <f t="shared" si="7"/>
        <v>0</v>
      </c>
      <c r="G26" s="3">
        <f t="shared" si="8"/>
        <v>300000</v>
      </c>
      <c r="H26" s="3">
        <f t="shared" si="9"/>
        <v>0</v>
      </c>
    </row>
    <row r="27" spans="1:11" x14ac:dyDescent="0.25">
      <c r="A27" s="4">
        <v>3</v>
      </c>
      <c r="B27" s="3" t="s">
        <v>11</v>
      </c>
      <c r="C27" s="3" t="s">
        <v>12</v>
      </c>
      <c r="D27" s="4" t="s">
        <v>116</v>
      </c>
      <c r="E27" s="3">
        <v>26</v>
      </c>
      <c r="F27" s="3">
        <f t="shared" si="7"/>
        <v>200000</v>
      </c>
      <c r="G27" s="3">
        <f t="shared" si="8"/>
        <v>300000</v>
      </c>
      <c r="H27" s="3">
        <f t="shared" si="9"/>
        <v>100000</v>
      </c>
    </row>
    <row r="28" spans="1:11" x14ac:dyDescent="0.25">
      <c r="A28" s="4">
        <v>4</v>
      </c>
      <c r="B28" s="3" t="s">
        <v>13</v>
      </c>
      <c r="C28" s="3" t="s">
        <v>14</v>
      </c>
      <c r="D28" s="4" t="s">
        <v>116</v>
      </c>
      <c r="E28" s="3">
        <v>22</v>
      </c>
      <c r="F28" s="3">
        <f t="shared" si="7"/>
        <v>200000</v>
      </c>
      <c r="G28" s="3">
        <f t="shared" si="8"/>
        <v>0</v>
      </c>
      <c r="H28" s="3">
        <f t="shared" si="9"/>
        <v>0</v>
      </c>
    </row>
    <row r="29" spans="1:11" x14ac:dyDescent="0.25">
      <c r="A29" s="4">
        <v>5</v>
      </c>
      <c r="B29" s="3" t="s">
        <v>15</v>
      </c>
      <c r="C29" s="3" t="s">
        <v>16</v>
      </c>
      <c r="D29" s="4" t="s">
        <v>16</v>
      </c>
      <c r="E29" s="3">
        <v>27</v>
      </c>
      <c r="F29" s="3">
        <f t="shared" si="7"/>
        <v>0</v>
      </c>
      <c r="G29" s="3">
        <f t="shared" si="8"/>
        <v>300000</v>
      </c>
      <c r="H29" s="3">
        <f t="shared" si="9"/>
        <v>100000</v>
      </c>
    </row>
    <row r="30" spans="1:11" x14ac:dyDescent="0.25">
      <c r="A30" s="4">
        <v>6</v>
      </c>
      <c r="B30" s="3" t="s">
        <v>17</v>
      </c>
      <c r="C30" s="3" t="s">
        <v>18</v>
      </c>
      <c r="D30" s="4" t="s">
        <v>116</v>
      </c>
      <c r="E30" s="3">
        <v>25</v>
      </c>
      <c r="F30" s="3">
        <f t="shared" si="7"/>
        <v>200000</v>
      </c>
      <c r="G30" s="3">
        <f t="shared" si="8"/>
        <v>300000</v>
      </c>
      <c r="H30" s="3">
        <f t="shared" si="9"/>
        <v>0</v>
      </c>
    </row>
    <row r="32" spans="1:11" ht="18.75" x14ac:dyDescent="0.3">
      <c r="A32" s="27" t="s">
        <v>21</v>
      </c>
    </row>
    <row r="34" spans="1:10" s="31" customFormat="1" ht="37.5" x14ac:dyDescent="0.3">
      <c r="A34" s="37" t="s">
        <v>1</v>
      </c>
      <c r="B34" s="37" t="s">
        <v>22</v>
      </c>
      <c r="C34" s="37" t="s">
        <v>23</v>
      </c>
      <c r="D34" s="37" t="s">
        <v>24</v>
      </c>
      <c r="E34" s="37" t="s">
        <v>25</v>
      </c>
      <c r="F34" s="37" t="s">
        <v>26</v>
      </c>
      <c r="G34" s="37" t="s">
        <v>27</v>
      </c>
      <c r="H34" s="37" t="s">
        <v>28</v>
      </c>
      <c r="I34" s="37" t="s">
        <v>55</v>
      </c>
      <c r="J34" s="37" t="s">
        <v>56</v>
      </c>
    </row>
    <row r="35" spans="1:10" x14ac:dyDescent="0.25">
      <c r="A35" s="4">
        <v>1</v>
      </c>
      <c r="B35" s="3" t="s">
        <v>33</v>
      </c>
      <c r="C35" s="4" t="s">
        <v>48</v>
      </c>
      <c r="D35" s="5">
        <v>24524</v>
      </c>
      <c r="E35" s="3">
        <v>120000</v>
      </c>
      <c r="F35" s="3">
        <v>25</v>
      </c>
      <c r="G35" s="3">
        <f t="shared" ref="G35:G49" si="10">E35*F35</f>
        <v>3000000</v>
      </c>
      <c r="H35" s="3">
        <f t="shared" ref="H35:H49" si="11">80%*G35</f>
        <v>2400000</v>
      </c>
      <c r="I35" s="3">
        <f t="shared" ref="I35:I49" si="12">IF(C35="GĐ",500000,IF(C35="PGĐ",400000,IF(C35="TP",300000,IF(C35="PP",200000,100000))))</f>
        <v>300000</v>
      </c>
      <c r="J35" s="6">
        <f t="shared" ref="J35:J49" si="13">G35+I35-H35</f>
        <v>900000</v>
      </c>
    </row>
    <row r="36" spans="1:10" x14ac:dyDescent="0.25">
      <c r="A36" s="4">
        <v>2</v>
      </c>
      <c r="B36" s="3" t="s">
        <v>34</v>
      </c>
      <c r="C36" s="4" t="s">
        <v>49</v>
      </c>
      <c r="D36" s="5">
        <v>27659</v>
      </c>
      <c r="E36" s="3">
        <v>160000</v>
      </c>
      <c r="F36" s="3">
        <v>24</v>
      </c>
      <c r="G36" s="3">
        <f t="shared" si="10"/>
        <v>3840000</v>
      </c>
      <c r="H36" s="3">
        <f t="shared" si="11"/>
        <v>3072000</v>
      </c>
      <c r="I36" s="3">
        <f t="shared" si="12"/>
        <v>100000</v>
      </c>
      <c r="J36" s="6">
        <f t="shared" si="13"/>
        <v>868000</v>
      </c>
    </row>
    <row r="37" spans="1:10" x14ac:dyDescent="0.25">
      <c r="A37" s="4">
        <v>3</v>
      </c>
      <c r="B37" s="3" t="s">
        <v>35</v>
      </c>
      <c r="C37" s="4" t="s">
        <v>50</v>
      </c>
      <c r="D37" s="5">
        <v>24972</v>
      </c>
      <c r="E37" s="3">
        <v>150000</v>
      </c>
      <c r="F37" s="3">
        <v>26</v>
      </c>
      <c r="G37" s="3">
        <f t="shared" si="10"/>
        <v>3900000</v>
      </c>
      <c r="H37" s="3">
        <f t="shared" si="11"/>
        <v>3120000</v>
      </c>
      <c r="I37" s="3">
        <f t="shared" si="12"/>
        <v>200000</v>
      </c>
      <c r="J37" s="6">
        <f t="shared" si="13"/>
        <v>980000</v>
      </c>
    </row>
    <row r="38" spans="1:10" x14ac:dyDescent="0.25">
      <c r="A38" s="4">
        <v>4</v>
      </c>
      <c r="B38" s="3" t="s">
        <v>36</v>
      </c>
      <c r="C38" s="4" t="s">
        <v>49</v>
      </c>
      <c r="D38" s="5">
        <v>21231</v>
      </c>
      <c r="E38" s="3">
        <v>130000</v>
      </c>
      <c r="F38" s="3">
        <v>20</v>
      </c>
      <c r="G38" s="3">
        <f t="shared" si="10"/>
        <v>2600000</v>
      </c>
      <c r="H38" s="3">
        <f t="shared" si="11"/>
        <v>2080000</v>
      </c>
      <c r="I38" s="3">
        <f t="shared" si="12"/>
        <v>100000</v>
      </c>
      <c r="J38" s="6">
        <f t="shared" si="13"/>
        <v>620000</v>
      </c>
    </row>
    <row r="39" spans="1:10" x14ac:dyDescent="0.25">
      <c r="A39" s="4">
        <v>5</v>
      </c>
      <c r="B39" s="3" t="s">
        <v>37</v>
      </c>
      <c r="C39" s="4" t="s">
        <v>51</v>
      </c>
      <c r="D39" s="5">
        <v>28728</v>
      </c>
      <c r="E39" s="3">
        <v>180000</v>
      </c>
      <c r="F39" s="3">
        <v>23</v>
      </c>
      <c r="G39" s="3">
        <f t="shared" si="10"/>
        <v>4140000</v>
      </c>
      <c r="H39" s="3">
        <f t="shared" si="11"/>
        <v>3312000</v>
      </c>
      <c r="I39" s="3">
        <f t="shared" si="12"/>
        <v>100000</v>
      </c>
      <c r="J39" s="6">
        <f t="shared" si="13"/>
        <v>928000</v>
      </c>
    </row>
    <row r="40" spans="1:10" x14ac:dyDescent="0.25">
      <c r="A40" s="4">
        <v>6</v>
      </c>
      <c r="B40" s="3" t="s">
        <v>38</v>
      </c>
      <c r="C40" s="4" t="s">
        <v>52</v>
      </c>
      <c r="D40" s="5">
        <v>25432</v>
      </c>
      <c r="E40" s="3">
        <v>150000</v>
      </c>
      <c r="F40" s="3">
        <v>24</v>
      </c>
      <c r="G40" s="3">
        <f t="shared" si="10"/>
        <v>3600000</v>
      </c>
      <c r="H40" s="3">
        <f t="shared" si="11"/>
        <v>2880000</v>
      </c>
      <c r="I40" s="3">
        <f t="shared" si="12"/>
        <v>100000</v>
      </c>
      <c r="J40" s="6">
        <f t="shared" si="13"/>
        <v>820000</v>
      </c>
    </row>
    <row r="41" spans="1:10" x14ac:dyDescent="0.25">
      <c r="A41" s="4">
        <v>7</v>
      </c>
      <c r="B41" s="3" t="s">
        <v>39</v>
      </c>
      <c r="C41" s="4" t="s">
        <v>50</v>
      </c>
      <c r="D41" s="5">
        <v>25430</v>
      </c>
      <c r="E41" s="3">
        <v>140000</v>
      </c>
      <c r="F41" s="3">
        <v>27</v>
      </c>
      <c r="G41" s="3">
        <f t="shared" si="10"/>
        <v>3780000</v>
      </c>
      <c r="H41" s="3">
        <f t="shared" si="11"/>
        <v>3024000</v>
      </c>
      <c r="I41" s="3">
        <f t="shared" si="12"/>
        <v>200000</v>
      </c>
      <c r="J41" s="6">
        <f t="shared" si="13"/>
        <v>956000</v>
      </c>
    </row>
    <row r="42" spans="1:10" x14ac:dyDescent="0.25">
      <c r="A42" s="4">
        <v>8</v>
      </c>
      <c r="B42" s="3" t="s">
        <v>40</v>
      </c>
      <c r="C42" s="4" t="s">
        <v>53</v>
      </c>
      <c r="D42" s="5">
        <v>20796</v>
      </c>
      <c r="E42" s="3">
        <v>160000</v>
      </c>
      <c r="F42" s="3">
        <v>14</v>
      </c>
      <c r="G42" s="3">
        <f t="shared" si="10"/>
        <v>2240000</v>
      </c>
      <c r="H42" s="3">
        <f t="shared" si="11"/>
        <v>1792000</v>
      </c>
      <c r="I42" s="3">
        <f t="shared" si="12"/>
        <v>500000</v>
      </c>
      <c r="J42" s="6">
        <f t="shared" si="13"/>
        <v>948000</v>
      </c>
    </row>
    <row r="43" spans="1:10" x14ac:dyDescent="0.25">
      <c r="A43" s="4">
        <v>9</v>
      </c>
      <c r="B43" s="3" t="s">
        <v>41</v>
      </c>
      <c r="C43" s="4" t="s">
        <v>52</v>
      </c>
      <c r="D43" s="5">
        <v>22194</v>
      </c>
      <c r="E43" s="3">
        <v>150000</v>
      </c>
      <c r="F43" s="3">
        <v>17</v>
      </c>
      <c r="G43" s="3">
        <f t="shared" si="10"/>
        <v>2550000</v>
      </c>
      <c r="H43" s="3">
        <f t="shared" si="11"/>
        <v>2040000</v>
      </c>
      <c r="I43" s="3">
        <f t="shared" si="12"/>
        <v>100000</v>
      </c>
      <c r="J43" s="6">
        <f t="shared" si="13"/>
        <v>610000</v>
      </c>
    </row>
    <row r="44" spans="1:10" x14ac:dyDescent="0.25">
      <c r="A44" s="4">
        <v>10</v>
      </c>
      <c r="B44" s="3" t="s">
        <v>42</v>
      </c>
      <c r="C44" s="4" t="s">
        <v>49</v>
      </c>
      <c r="D44" s="5">
        <v>19859</v>
      </c>
      <c r="E44" s="3">
        <v>130000</v>
      </c>
      <c r="F44" s="3">
        <v>23</v>
      </c>
      <c r="G44" s="3">
        <f t="shared" si="10"/>
        <v>2990000</v>
      </c>
      <c r="H44" s="3">
        <f t="shared" si="11"/>
        <v>2392000</v>
      </c>
      <c r="I44" s="3">
        <f t="shared" si="12"/>
        <v>100000</v>
      </c>
      <c r="J44" s="6">
        <f t="shared" si="13"/>
        <v>698000</v>
      </c>
    </row>
    <row r="45" spans="1:10" x14ac:dyDescent="0.25">
      <c r="A45" s="4">
        <v>11</v>
      </c>
      <c r="B45" s="3" t="s">
        <v>43</v>
      </c>
      <c r="C45" s="4" t="s">
        <v>48</v>
      </c>
      <c r="D45" s="5">
        <v>24731</v>
      </c>
      <c r="E45" s="3">
        <v>180000</v>
      </c>
      <c r="F45" s="3">
        <v>22</v>
      </c>
      <c r="G45" s="3">
        <f t="shared" si="10"/>
        <v>3960000</v>
      </c>
      <c r="H45" s="3">
        <f t="shared" si="11"/>
        <v>3168000</v>
      </c>
      <c r="I45" s="3">
        <f t="shared" si="12"/>
        <v>300000</v>
      </c>
      <c r="J45" s="6">
        <f t="shared" si="13"/>
        <v>1092000</v>
      </c>
    </row>
    <row r="46" spans="1:10" x14ac:dyDescent="0.25">
      <c r="A46" s="4">
        <v>12</v>
      </c>
      <c r="B46" s="3" t="s">
        <v>44</v>
      </c>
      <c r="C46" s="4" t="s">
        <v>49</v>
      </c>
      <c r="D46" s="5">
        <v>25465</v>
      </c>
      <c r="E46" s="3">
        <v>150000</v>
      </c>
      <c r="F46" s="3">
        <v>14</v>
      </c>
      <c r="G46" s="3">
        <f t="shared" si="10"/>
        <v>2100000</v>
      </c>
      <c r="H46" s="3">
        <f t="shared" si="11"/>
        <v>1680000</v>
      </c>
      <c r="I46" s="3">
        <f t="shared" si="12"/>
        <v>100000</v>
      </c>
      <c r="J46" s="6">
        <f t="shared" si="13"/>
        <v>520000</v>
      </c>
    </row>
    <row r="47" spans="1:10" x14ac:dyDescent="0.25">
      <c r="A47" s="4">
        <v>13</v>
      </c>
      <c r="B47" s="3" t="s">
        <v>45</v>
      </c>
      <c r="C47" s="4" t="s">
        <v>54</v>
      </c>
      <c r="D47" s="5">
        <v>21438</v>
      </c>
      <c r="E47" s="3">
        <v>180000</v>
      </c>
      <c r="F47" s="3">
        <v>23</v>
      </c>
      <c r="G47" s="3">
        <f t="shared" si="10"/>
        <v>4140000</v>
      </c>
      <c r="H47" s="3">
        <f t="shared" si="11"/>
        <v>3312000</v>
      </c>
      <c r="I47" s="3">
        <f t="shared" si="12"/>
        <v>400000</v>
      </c>
      <c r="J47" s="6">
        <f t="shared" si="13"/>
        <v>1228000</v>
      </c>
    </row>
    <row r="48" spans="1:10" x14ac:dyDescent="0.25">
      <c r="A48" s="4">
        <v>14</v>
      </c>
      <c r="B48" s="3" t="s">
        <v>46</v>
      </c>
      <c r="C48" s="4" t="s">
        <v>48</v>
      </c>
      <c r="D48" s="5">
        <v>19983</v>
      </c>
      <c r="E48" s="3">
        <v>160000</v>
      </c>
      <c r="F48" s="3">
        <v>27</v>
      </c>
      <c r="G48" s="3">
        <f t="shared" si="10"/>
        <v>4320000</v>
      </c>
      <c r="H48" s="3">
        <f t="shared" si="11"/>
        <v>3456000</v>
      </c>
      <c r="I48" s="3">
        <f t="shared" si="12"/>
        <v>300000</v>
      </c>
      <c r="J48" s="6">
        <f t="shared" si="13"/>
        <v>1164000</v>
      </c>
    </row>
    <row r="49" spans="1:10" x14ac:dyDescent="0.25">
      <c r="A49" s="4">
        <v>15</v>
      </c>
      <c r="B49" s="3" t="s">
        <v>47</v>
      </c>
      <c r="C49" s="4" t="s">
        <v>52</v>
      </c>
      <c r="D49" s="5">
        <v>25074</v>
      </c>
      <c r="E49" s="3">
        <v>130000</v>
      </c>
      <c r="F49" s="3">
        <v>26</v>
      </c>
      <c r="G49" s="3">
        <f t="shared" si="10"/>
        <v>3380000</v>
      </c>
      <c r="H49" s="3">
        <f t="shared" si="11"/>
        <v>2704000</v>
      </c>
      <c r="I49" s="3">
        <f t="shared" si="12"/>
        <v>100000</v>
      </c>
      <c r="J49" s="6">
        <f t="shared" si="13"/>
        <v>776000</v>
      </c>
    </row>
    <row r="50" spans="1:10" ht="17.25" x14ac:dyDescent="0.25">
      <c r="A50" s="15" t="s">
        <v>29</v>
      </c>
      <c r="B50" s="16"/>
      <c r="C50" s="16"/>
      <c r="D50" s="16"/>
      <c r="E50" s="16"/>
      <c r="F50" s="17"/>
      <c r="G50" s="3">
        <f>SUM(G35:G49)</f>
        <v>50540000</v>
      </c>
      <c r="H50" s="3">
        <f>SUM(H35:H49)</f>
        <v>40432000</v>
      </c>
      <c r="I50" s="3">
        <f t="shared" ref="I50:J50" si="14">SUM(I35:I49)</f>
        <v>3000000</v>
      </c>
      <c r="J50" s="3">
        <f t="shared" si="14"/>
        <v>13108000</v>
      </c>
    </row>
    <row r="51" spans="1:10" ht="17.25" x14ac:dyDescent="0.25">
      <c r="A51" s="15" t="s">
        <v>30</v>
      </c>
      <c r="B51" s="16"/>
      <c r="C51" s="16"/>
      <c r="D51" s="16"/>
      <c r="E51" s="16"/>
      <c r="F51" s="17"/>
      <c r="G51" s="3">
        <f>AVERAGE(G35:G49)</f>
        <v>3369333.3333333335</v>
      </c>
      <c r="H51" s="3">
        <f>AVERAGE(H35:H49)</f>
        <v>2695466.6666666665</v>
      </c>
      <c r="I51" s="3">
        <f>AVERAGE(I35:I49)</f>
        <v>200000</v>
      </c>
      <c r="J51" s="3">
        <f t="shared" ref="J51" si="15">AVERAGE(J35:J49)</f>
        <v>873866.66666666663</v>
      </c>
    </row>
    <row r="52" spans="1:10" ht="17.25" x14ac:dyDescent="0.25">
      <c r="A52" s="15" t="s">
        <v>31</v>
      </c>
      <c r="B52" s="16"/>
      <c r="C52" s="16"/>
      <c r="D52" s="16"/>
      <c r="E52" s="16"/>
      <c r="F52" s="17"/>
      <c r="G52" s="3">
        <f>MAX(G35:G49)</f>
        <v>4320000</v>
      </c>
      <c r="H52" s="3">
        <f>MAX(H35:H49)</f>
        <v>3456000</v>
      </c>
      <c r="I52" s="3">
        <f t="shared" ref="I52:J52" si="16">MAX(I35:I49)</f>
        <v>500000</v>
      </c>
      <c r="J52" s="3">
        <f t="shared" si="16"/>
        <v>1228000</v>
      </c>
    </row>
    <row r="53" spans="1:10" ht="17.25" x14ac:dyDescent="0.25">
      <c r="A53" s="15" t="s">
        <v>32</v>
      </c>
      <c r="B53" s="16"/>
      <c r="C53" s="16"/>
      <c r="D53" s="16"/>
      <c r="E53" s="16"/>
      <c r="F53" s="17"/>
      <c r="G53" s="3">
        <f>MIN(G35:G49)</f>
        <v>2100000</v>
      </c>
      <c r="H53" s="3">
        <f>MIN(H35:H49)</f>
        <v>1680000</v>
      </c>
      <c r="I53" s="3">
        <f t="shared" ref="I53:J53" si="17">MIN(I35:I49)</f>
        <v>100000</v>
      </c>
      <c r="J53" s="3">
        <f t="shared" si="17"/>
        <v>520000</v>
      </c>
    </row>
    <row r="55" spans="1:10" ht="18.75" x14ac:dyDescent="0.3">
      <c r="A55" s="27" t="s">
        <v>57</v>
      </c>
    </row>
    <row r="57" spans="1:10" s="31" customFormat="1" ht="37.5" x14ac:dyDescent="0.3">
      <c r="A57" s="37" t="s">
        <v>1</v>
      </c>
      <c r="B57" s="37" t="s">
        <v>58</v>
      </c>
      <c r="C57" s="37" t="s">
        <v>59</v>
      </c>
      <c r="D57" s="37" t="s">
        <v>60</v>
      </c>
      <c r="E57" s="37" t="s">
        <v>61</v>
      </c>
      <c r="F57" s="37" t="s">
        <v>62</v>
      </c>
      <c r="G57" s="37" t="s">
        <v>88</v>
      </c>
      <c r="H57" s="37" t="s">
        <v>63</v>
      </c>
      <c r="I57" s="37" t="s">
        <v>64</v>
      </c>
      <c r="J57" s="37" t="s">
        <v>65</v>
      </c>
    </row>
    <row r="58" spans="1:10" x14ac:dyDescent="0.25">
      <c r="A58" s="4">
        <v>1</v>
      </c>
      <c r="B58" s="3" t="s">
        <v>67</v>
      </c>
      <c r="C58" s="3" t="str">
        <f t="shared" ref="C58:C66" si="18">VLOOKUP(LEFT(B58,2),$B$69:$F$73,2,0)</f>
        <v>Máy lạnh Panasonic</v>
      </c>
      <c r="D58" s="4" t="str">
        <f>VLOOKUP(LEFT(B58,2),$B$69:$F$73,3,0)</f>
        <v>300$</v>
      </c>
      <c r="E58" s="3">
        <f t="shared" ref="E58:E65" si="19">VLOOKUP(LEFT(B58,2),$B$69:$F$73,4,0)</f>
        <v>130</v>
      </c>
      <c r="F58" s="3">
        <f t="shared" ref="F58:F65" si="20">VLOOKUP(LEFT(B58,2),$B$69:$F$73,5,0)</f>
        <v>100</v>
      </c>
      <c r="G58" s="3">
        <f t="shared" ref="G58:G65" si="21">IF(MID(B58,4,1)="A",15,IF(MID(B58,4,1)="B",12,10))</f>
        <v>15</v>
      </c>
      <c r="H58" s="3">
        <f t="shared" ref="H58:H65" si="22">VLOOKUP(LEFT(B58,2),$B$69:$F$73,5,0)</f>
        <v>100</v>
      </c>
      <c r="I58" s="3">
        <f t="shared" ref="I58:I65" si="23">(G58*H58)</f>
        <v>1500</v>
      </c>
      <c r="J58" s="4" t="str">
        <f t="shared" ref="J58:J65" si="24">IF(E58-H58&gt;=60,"Bán chậm",IF(E58-H58&gt;=30,"Bán được","Bán chạy"))</f>
        <v>Bán được</v>
      </c>
    </row>
    <row r="59" spans="1:10" x14ac:dyDescent="0.25">
      <c r="A59" s="4">
        <v>2</v>
      </c>
      <c r="B59" s="3" t="s">
        <v>68</v>
      </c>
      <c r="C59" s="3" t="str">
        <f t="shared" si="18"/>
        <v>Máy lạnh Panasonic</v>
      </c>
      <c r="D59" s="4" t="str">
        <f t="shared" ref="D58:D66" si="25">VLOOKUP(LEFT(B59,2),$B$69:$F$73,3,0)</f>
        <v>300$</v>
      </c>
      <c r="E59" s="3">
        <f t="shared" si="19"/>
        <v>130</v>
      </c>
      <c r="F59" s="3">
        <f t="shared" si="20"/>
        <v>100</v>
      </c>
      <c r="G59" s="3">
        <f t="shared" si="21"/>
        <v>10</v>
      </c>
      <c r="H59" s="3">
        <f t="shared" si="22"/>
        <v>100</v>
      </c>
      <c r="I59" s="3">
        <f t="shared" si="23"/>
        <v>1000</v>
      </c>
      <c r="J59" s="4" t="str">
        <f t="shared" si="24"/>
        <v>Bán được</v>
      </c>
    </row>
    <row r="60" spans="1:10" x14ac:dyDescent="0.25">
      <c r="A60" s="4">
        <v>3</v>
      </c>
      <c r="B60" s="3" t="s">
        <v>69</v>
      </c>
      <c r="C60" s="3" t="str">
        <f t="shared" si="18"/>
        <v>Mays lạnh Sanyo</v>
      </c>
      <c r="D60" s="4" t="str">
        <f t="shared" si="25"/>
        <v>210$</v>
      </c>
      <c r="E60" s="3">
        <f t="shared" si="19"/>
        <v>126</v>
      </c>
      <c r="F60" s="3">
        <f t="shared" si="20"/>
        <v>85</v>
      </c>
      <c r="G60" s="3">
        <f t="shared" si="21"/>
        <v>12</v>
      </c>
      <c r="H60" s="3">
        <f t="shared" si="22"/>
        <v>85</v>
      </c>
      <c r="I60" s="3">
        <f t="shared" si="23"/>
        <v>1020</v>
      </c>
      <c r="J60" s="4" t="str">
        <f t="shared" si="24"/>
        <v>Bán được</v>
      </c>
    </row>
    <row r="61" spans="1:10" x14ac:dyDescent="0.25">
      <c r="A61" s="4">
        <v>4</v>
      </c>
      <c r="B61" s="3" t="s">
        <v>70</v>
      </c>
      <c r="C61" s="3" t="str">
        <f t="shared" si="18"/>
        <v>Máy lạnh Toshiba</v>
      </c>
      <c r="D61" s="4" t="str">
        <f t="shared" si="25"/>
        <v>250$</v>
      </c>
      <c r="E61" s="3">
        <f t="shared" si="19"/>
        <v>90</v>
      </c>
      <c r="F61" s="3">
        <f t="shared" si="20"/>
        <v>60</v>
      </c>
      <c r="G61" s="3">
        <f t="shared" si="21"/>
        <v>10</v>
      </c>
      <c r="H61" s="3">
        <f t="shared" si="22"/>
        <v>60</v>
      </c>
      <c r="I61" s="3">
        <f t="shared" si="23"/>
        <v>600</v>
      </c>
      <c r="J61" s="4" t="str">
        <f t="shared" si="24"/>
        <v>Bán được</v>
      </c>
    </row>
    <row r="62" spans="1:10" x14ac:dyDescent="0.25">
      <c r="A62" s="4">
        <v>5</v>
      </c>
      <c r="B62" s="3" t="s">
        <v>71</v>
      </c>
      <c r="C62" s="3" t="str">
        <f t="shared" si="18"/>
        <v>Máy lạnh Hitachi</v>
      </c>
      <c r="D62" s="4" t="str">
        <f t="shared" si="25"/>
        <v>220$</v>
      </c>
      <c r="E62" s="3">
        <f t="shared" si="19"/>
        <v>70</v>
      </c>
      <c r="F62" s="3">
        <f t="shared" si="20"/>
        <v>30</v>
      </c>
      <c r="G62" s="3">
        <f t="shared" si="21"/>
        <v>10</v>
      </c>
      <c r="H62" s="3">
        <f t="shared" si="22"/>
        <v>30</v>
      </c>
      <c r="I62" s="3">
        <f t="shared" si="23"/>
        <v>300</v>
      </c>
      <c r="J62" s="4" t="str">
        <f t="shared" si="24"/>
        <v>Bán được</v>
      </c>
    </row>
    <row r="63" spans="1:10" x14ac:dyDescent="0.25">
      <c r="A63" s="4">
        <v>6</v>
      </c>
      <c r="B63" s="3" t="s">
        <v>72</v>
      </c>
      <c r="C63" s="3" t="str">
        <f t="shared" si="18"/>
        <v>Máy lạnh Hitachi</v>
      </c>
      <c r="D63" s="4" t="str">
        <f t="shared" si="25"/>
        <v>220$</v>
      </c>
      <c r="E63" s="3">
        <f t="shared" si="19"/>
        <v>70</v>
      </c>
      <c r="F63" s="3">
        <f t="shared" si="20"/>
        <v>30</v>
      </c>
      <c r="G63" s="3">
        <f t="shared" si="21"/>
        <v>15</v>
      </c>
      <c r="H63" s="3">
        <f t="shared" si="22"/>
        <v>30</v>
      </c>
      <c r="I63" s="3">
        <f t="shared" si="23"/>
        <v>450</v>
      </c>
      <c r="J63" s="4" t="str">
        <f t="shared" si="24"/>
        <v>Bán được</v>
      </c>
    </row>
    <row r="64" spans="1:10" x14ac:dyDescent="0.25">
      <c r="A64" s="4">
        <v>7</v>
      </c>
      <c r="B64" s="3" t="s">
        <v>73</v>
      </c>
      <c r="C64" s="3" t="str">
        <f t="shared" si="18"/>
        <v>Máy lạnh Toshiba</v>
      </c>
      <c r="D64" s="4" t="str">
        <f t="shared" si="25"/>
        <v>250$</v>
      </c>
      <c r="E64" s="3">
        <f t="shared" si="19"/>
        <v>90</v>
      </c>
      <c r="F64" s="3">
        <f t="shared" si="20"/>
        <v>60</v>
      </c>
      <c r="G64" s="3">
        <f t="shared" si="21"/>
        <v>12</v>
      </c>
      <c r="H64" s="3">
        <f t="shared" si="22"/>
        <v>60</v>
      </c>
      <c r="I64" s="3">
        <f t="shared" si="23"/>
        <v>720</v>
      </c>
      <c r="J64" s="4" t="str">
        <f t="shared" si="24"/>
        <v>Bán được</v>
      </c>
    </row>
    <row r="65" spans="1:10" x14ac:dyDescent="0.25">
      <c r="A65" s="4">
        <v>8</v>
      </c>
      <c r="B65" s="3" t="s">
        <v>69</v>
      </c>
      <c r="C65" s="3" t="str">
        <f t="shared" si="18"/>
        <v>Mays lạnh Sanyo</v>
      </c>
      <c r="D65" s="4" t="str">
        <f t="shared" si="25"/>
        <v>210$</v>
      </c>
      <c r="E65" s="3">
        <f t="shared" si="19"/>
        <v>126</v>
      </c>
      <c r="F65" s="3">
        <f t="shared" si="20"/>
        <v>85</v>
      </c>
      <c r="G65" s="3">
        <f t="shared" si="21"/>
        <v>12</v>
      </c>
      <c r="H65" s="3">
        <f t="shared" si="22"/>
        <v>85</v>
      </c>
      <c r="I65" s="3">
        <f t="shared" si="23"/>
        <v>1020</v>
      </c>
      <c r="J65" s="4" t="str">
        <f t="shared" si="24"/>
        <v>Bán được</v>
      </c>
    </row>
    <row r="66" spans="1:10" ht="20.25" x14ac:dyDescent="0.3">
      <c r="A66" s="2"/>
      <c r="B66" s="41" t="s">
        <v>66</v>
      </c>
      <c r="C66" s="3"/>
      <c r="D66" s="3"/>
      <c r="E66" s="3">
        <f>SUM(E58:E65)</f>
        <v>832</v>
      </c>
      <c r="F66" s="3">
        <f>SUM(F58:F65)</f>
        <v>550</v>
      </c>
      <c r="G66" s="3">
        <f>SUM(G58:G65)</f>
        <v>96</v>
      </c>
      <c r="H66" s="3">
        <f>SUM(H58:H65)</f>
        <v>550</v>
      </c>
      <c r="I66" s="3">
        <f t="shared" ref="I66" si="26">SUM(I58:I65)</f>
        <v>6610</v>
      </c>
      <c r="J66" s="3"/>
    </row>
    <row r="68" spans="1:10" ht="18.75" x14ac:dyDescent="0.3">
      <c r="B68" s="40" t="s">
        <v>74</v>
      </c>
    </row>
    <row r="69" spans="1:10" s="38" customFormat="1" ht="20.25" x14ac:dyDescent="0.3">
      <c r="B69" s="39" t="s">
        <v>58</v>
      </c>
      <c r="C69" s="39" t="s">
        <v>59</v>
      </c>
      <c r="D69" s="39" t="s">
        <v>75</v>
      </c>
      <c r="E69" s="39" t="s">
        <v>61</v>
      </c>
      <c r="F69" s="39" t="s">
        <v>63</v>
      </c>
    </row>
    <row r="70" spans="1:10" x14ac:dyDescent="0.25">
      <c r="B70" s="3" t="s">
        <v>76</v>
      </c>
      <c r="C70" s="3" t="s">
        <v>80</v>
      </c>
      <c r="D70" s="3" t="s">
        <v>84</v>
      </c>
      <c r="E70" s="3">
        <v>130</v>
      </c>
      <c r="F70" s="3">
        <v>100</v>
      </c>
    </row>
    <row r="71" spans="1:10" x14ac:dyDescent="0.25">
      <c r="B71" s="3" t="s">
        <v>77</v>
      </c>
      <c r="C71" s="3" t="s">
        <v>81</v>
      </c>
      <c r="D71" s="3" t="s">
        <v>85</v>
      </c>
      <c r="E71" s="3">
        <v>90</v>
      </c>
      <c r="F71" s="3">
        <v>60</v>
      </c>
    </row>
    <row r="72" spans="1:10" x14ac:dyDescent="0.25">
      <c r="B72" s="7" t="s">
        <v>78</v>
      </c>
      <c r="C72" s="7" t="s">
        <v>82</v>
      </c>
      <c r="D72" s="7" t="s">
        <v>86</v>
      </c>
      <c r="E72" s="7">
        <v>126</v>
      </c>
      <c r="F72" s="7">
        <v>85</v>
      </c>
    </row>
    <row r="73" spans="1:10" x14ac:dyDescent="0.25">
      <c r="B73" s="3" t="s">
        <v>79</v>
      </c>
      <c r="C73" s="3" t="s">
        <v>83</v>
      </c>
      <c r="D73" s="3" t="s">
        <v>87</v>
      </c>
      <c r="E73" s="3">
        <v>70</v>
      </c>
      <c r="F73" s="3">
        <v>30</v>
      </c>
    </row>
  </sheetData>
  <mergeCells count="8">
    <mergeCell ref="A53:F53"/>
    <mergeCell ref="A50:F50"/>
    <mergeCell ref="A51:F51"/>
    <mergeCell ref="A52:F52"/>
    <mergeCell ref="A3:K3"/>
    <mergeCell ref="A17:D17"/>
    <mergeCell ref="A18:D18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Tu</dc:creator>
  <cp:lastModifiedBy>lothihuyendomcang@gmail.com</cp:lastModifiedBy>
  <dcterms:created xsi:type="dcterms:W3CDTF">2025-12-20T12:36:15Z</dcterms:created>
  <dcterms:modified xsi:type="dcterms:W3CDTF">2025-12-22T16:14:29Z</dcterms:modified>
</cp:coreProperties>
</file>