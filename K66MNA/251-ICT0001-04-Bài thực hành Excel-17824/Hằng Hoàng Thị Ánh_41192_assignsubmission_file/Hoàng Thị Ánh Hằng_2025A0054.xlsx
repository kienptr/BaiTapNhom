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\OneDrive\ドキュメント\"/>
    </mc:Choice>
  </mc:AlternateContent>
  <xr:revisionPtr revIDLastSave="0" documentId="13_ncr:1_{DAE5AC85-47C0-4FD0-A884-4E7A6FC7221F}" xr6:coauthVersionLast="47" xr6:coauthVersionMax="47" xr10:uidLastSave="{00000000-0000-0000-0000-000000000000}"/>
  <bookViews>
    <workbookView xWindow="-108" yWindow="-108" windowWidth="23256" windowHeight="12456" activeTab="2" xr2:uid="{6735D8F8-556A-4F23-A3B0-2D6D2E8AFA15}"/>
  </bookViews>
  <sheets>
    <sheet name="Trang_tính1 " sheetId="6" r:id="rId1"/>
    <sheet name="Trang_tính2" sheetId="2" r:id="rId2"/>
    <sheet name="Trang_tính3" sheetId="3" r:id="rId3"/>
    <sheet name="Trang_tính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4" l="1"/>
  <c r="I9" i="4"/>
  <c r="I8" i="4"/>
  <c r="F6" i="4"/>
  <c r="K6" i="4" s="1"/>
  <c r="F8" i="4"/>
  <c r="K8" i="4" s="1"/>
  <c r="F9" i="4"/>
  <c r="F10" i="4"/>
  <c r="I6" i="4"/>
  <c r="F5" i="4"/>
  <c r="K5" i="4" s="1"/>
  <c r="I5" i="4"/>
  <c r="E10" i="4"/>
  <c r="H10" i="4" s="1"/>
  <c r="E9" i="4"/>
  <c r="G9" i="4" s="1"/>
  <c r="E8" i="4"/>
  <c r="E6" i="4"/>
  <c r="E7" i="4"/>
  <c r="E5" i="4"/>
  <c r="E4" i="4"/>
  <c r="I7" i="4"/>
  <c r="I4" i="4"/>
  <c r="I3" i="4"/>
  <c r="F7" i="4"/>
  <c r="K7" i="4" s="1"/>
  <c r="F4" i="4"/>
  <c r="K4" i="4" s="1"/>
  <c r="F3" i="4"/>
  <c r="E3" i="4"/>
  <c r="H9" i="4" l="1"/>
  <c r="J9" i="4" s="1"/>
  <c r="K9" i="4"/>
  <c r="K3" i="4"/>
  <c r="G5" i="4"/>
  <c r="E11" i="4"/>
  <c r="I11" i="4"/>
  <c r="G10" i="4"/>
  <c r="G7" i="4"/>
  <c r="K10" i="4"/>
  <c r="G3" i="4"/>
  <c r="F11" i="4"/>
  <c r="H3" i="4"/>
  <c r="J3" i="4" s="1"/>
  <c r="J10" i="4"/>
  <c r="H6" i="4"/>
  <c r="G8" i="4"/>
  <c r="J6" i="4"/>
  <c r="H5" i="4"/>
  <c r="J5" i="4" s="1"/>
  <c r="H8" i="4"/>
  <c r="J8" i="4" s="1"/>
  <c r="G6" i="4"/>
  <c r="H7" i="4"/>
  <c r="J7" i="4" s="1"/>
  <c r="H4" i="4"/>
  <c r="J4" i="4" s="1"/>
  <c r="G4" i="4"/>
  <c r="J11" i="4" l="1"/>
  <c r="G11" i="4"/>
  <c r="H11" i="4"/>
  <c r="L17" i="6" l="1"/>
  <c r="L16" i="6"/>
  <c r="L15" i="6"/>
  <c r="L14" i="6"/>
  <c r="L13" i="6"/>
  <c r="L12" i="6"/>
  <c r="L11" i="6"/>
  <c r="L10" i="6"/>
  <c r="L9" i="6"/>
  <c r="L8" i="6"/>
  <c r="L7" i="6"/>
  <c r="L6" i="6"/>
  <c r="J20" i="6"/>
  <c r="I20" i="6"/>
  <c r="H20" i="6"/>
  <c r="G20" i="6"/>
  <c r="I19" i="6"/>
  <c r="H19" i="6"/>
  <c r="G19" i="6"/>
  <c r="I18" i="6"/>
  <c r="H18" i="6"/>
  <c r="G18" i="6"/>
  <c r="J17" i="6"/>
  <c r="K16" i="6"/>
  <c r="J16" i="6"/>
  <c r="J15" i="6"/>
  <c r="J14" i="6"/>
  <c r="K13" i="6"/>
  <c r="J13" i="6"/>
  <c r="J12" i="6"/>
  <c r="J11" i="6"/>
  <c r="K10" i="6"/>
  <c r="J10" i="6"/>
  <c r="J9" i="6"/>
  <c r="J8" i="6"/>
  <c r="K7" i="6"/>
  <c r="J7" i="6"/>
  <c r="J6" i="6"/>
  <c r="J19" i="6" s="1"/>
  <c r="K8" i="6" l="1"/>
  <c r="K11" i="6"/>
  <c r="K14" i="6"/>
  <c r="K17" i="6"/>
  <c r="J18" i="6"/>
  <c r="K6" i="6"/>
  <c r="K9" i="6"/>
  <c r="K12" i="6"/>
  <c r="K15" i="6"/>
  <c r="M16" i="6" l="1"/>
  <c r="M7" i="6"/>
  <c r="M13" i="6"/>
  <c r="M10" i="6"/>
  <c r="M6" i="6"/>
  <c r="M9" i="6"/>
  <c r="M15" i="6"/>
  <c r="M8" i="6"/>
  <c r="M17" i="6"/>
  <c r="M12" i="6"/>
  <c r="M11" i="6"/>
  <c r="M14" i="6"/>
  <c r="L21" i="3" l="1"/>
  <c r="K21" i="3"/>
  <c r="L20" i="3"/>
  <c r="K20" i="3"/>
  <c r="K19" i="3"/>
  <c r="L19" i="3" s="1"/>
  <c r="K18" i="3"/>
  <c r="L18" i="3" s="1"/>
  <c r="J21" i="3"/>
  <c r="J20" i="3"/>
  <c r="J19" i="3"/>
  <c r="J18" i="3"/>
  <c r="I21" i="3"/>
  <c r="I20" i="3"/>
  <c r="I19" i="3"/>
  <c r="I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3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I10" i="2"/>
  <c r="I9" i="2"/>
  <c r="I8" i="2"/>
  <c r="I7" i="2"/>
  <c r="I6" i="2"/>
  <c r="I5" i="2"/>
  <c r="H10" i="2"/>
  <c r="H9" i="2"/>
  <c r="H8" i="2"/>
  <c r="H7" i="2"/>
  <c r="H6" i="2"/>
  <c r="H5" i="2"/>
  <c r="G10" i="2"/>
  <c r="G9" i="2"/>
  <c r="G8" i="2"/>
  <c r="G7" i="2"/>
  <c r="G6" i="2"/>
  <c r="G5" i="2"/>
  <c r="H19" i="3" l="1"/>
  <c r="H21" i="3"/>
  <c r="H20" i="3"/>
  <c r="H18" i="3"/>
</calcChain>
</file>

<file path=xl/sharedStrings.xml><?xml version="1.0" encoding="utf-8"?>
<sst xmlns="http://schemas.openxmlformats.org/spreadsheetml/2006/main" count="170" uniqueCount="110">
  <si>
    <t>KẾT QUẢ THI CUỐI KHÓA</t>
  </si>
  <si>
    <t>STT</t>
  </si>
  <si>
    <t>TÊN HS</t>
  </si>
  <si>
    <t>PHÁI</t>
  </si>
  <si>
    <t>NS</t>
  </si>
  <si>
    <t>VĂN</t>
  </si>
  <si>
    <t>NGOẠI NGỮ</t>
  </si>
  <si>
    <t>ĐTB</t>
  </si>
  <si>
    <t>KQ</t>
  </si>
  <si>
    <t>XẾP HẠNG</t>
  </si>
  <si>
    <t>TRUNG BÌNH</t>
  </si>
  <si>
    <t>CAO NHẤT</t>
  </si>
  <si>
    <t>THẤP NHẤT</t>
  </si>
  <si>
    <t>HẢI</t>
  </si>
  <si>
    <t>THẢO</t>
  </si>
  <si>
    <t>MINH</t>
  </si>
  <si>
    <t>LINH</t>
  </si>
  <si>
    <t>NAM</t>
  </si>
  <si>
    <t>DIỄM</t>
  </si>
  <si>
    <t>NGA</t>
  </si>
  <si>
    <t>SƠN</t>
  </si>
  <si>
    <t>NỮ</t>
  </si>
  <si>
    <t>KHEN THƯỞNG</t>
  </si>
  <si>
    <t>DANH SÁCH THƯỞNG THÁNG 03</t>
  </si>
  <si>
    <t>HỌ</t>
  </si>
  <si>
    <t>TÊN</t>
  </si>
  <si>
    <t>THƯỞNG 8-3</t>
  </si>
  <si>
    <t>THƯỞNG A</t>
  </si>
  <si>
    <t>THƯỞNG B</t>
  </si>
  <si>
    <t>NGÀY CÔNG</t>
  </si>
  <si>
    <t>Trần Thanh</t>
  </si>
  <si>
    <t>Phạm Hùng</t>
  </si>
  <si>
    <t>Lê Ngọc</t>
  </si>
  <si>
    <t>Phạm Thanh</t>
  </si>
  <si>
    <t>Phạm Hoài</t>
  </si>
  <si>
    <t>Lê Thanh</t>
  </si>
  <si>
    <t>Tuấn</t>
  </si>
  <si>
    <t>Cường</t>
  </si>
  <si>
    <t>Xuân</t>
  </si>
  <si>
    <t>Long</t>
  </si>
  <si>
    <t>Nam</t>
  </si>
  <si>
    <t>Lan</t>
  </si>
  <si>
    <t>HỌ VÀ TÊN</t>
  </si>
  <si>
    <t>CHỨC VỤ</t>
  </si>
  <si>
    <t>NĂM SINH</t>
  </si>
  <si>
    <t>LCB</t>
  </si>
  <si>
    <t>NGÀY</t>
  </si>
  <si>
    <t>LƯƠNG</t>
  </si>
  <si>
    <t>TẠM ỨNG</t>
  </si>
  <si>
    <t>CÒN LẠI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</si>
  <si>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</si>
  <si>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</si>
  <si>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</si>
  <si>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</si>
  <si>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</si>
  <si>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</si>
  <si>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</si>
  <si>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</si>
  <si>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</si>
  <si>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</si>
  <si>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</si>
  <si>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</si>
  <si>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</si>
  <si>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</si>
  <si>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</si>
  <si>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</si>
  <si>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</si>
  <si>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</si>
  <si>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</si>
  <si>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</si>
  <si>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</si>
  <si>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</si>
  <si>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TỔNG CỘNG</t>
  </si>
  <si>
    <t>BÌNH QUÂN</t>
  </si>
  <si>
    <t>TUỔI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</si>
  <si>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</si>
  <si>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</si>
  <si>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</si>
  <si>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</si>
  <si>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</si>
  <si>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</si>
  <si>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</si>
  <si>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</si>
  <si>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</si>
  <si>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</si>
  <si>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</si>
  <si>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</si>
  <si>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</si>
  <si>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</si>
  <si>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</si>
  <si>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</si>
  <si>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Cộng</t>
  </si>
  <si>
    <t>THƯỞNG</t>
  </si>
  <si>
    <t>TOÁN</t>
  </si>
  <si>
    <t xml:space="preserve">LÂM </t>
  </si>
  <si>
    <t xml:space="preserve">HIỆP </t>
  </si>
  <si>
    <t xml:space="preserve">HỒNG </t>
  </si>
  <si>
    <t xml:space="preserve">NỮ </t>
  </si>
  <si>
    <t xml:space="preserve">KHOA </t>
  </si>
  <si>
    <t>Bảng tra dữ liệu các loại máy lạnh:</t>
  </si>
  <si>
    <t>Pa</t>
  </si>
  <si>
    <t>To</t>
  </si>
  <si>
    <t>Hi</t>
  </si>
  <si>
    <t>Sa</t>
  </si>
  <si>
    <t>Máy lạnh Panasonic</t>
  </si>
  <si>
    <t>Máy lạnh Sanyo</t>
  </si>
  <si>
    <t>Máy lạnh Toshiba</t>
  </si>
  <si>
    <t>Máy lạnh Hitachi</t>
  </si>
  <si>
    <t>DANH SÁCH CÁC MẶT HÀNG CÓ TIỀN XUẤT&gt;=20000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</si>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</sst>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\ [$₫-42A]_-;\-* #,##0.00\ [$₫-42A]_-;_-* &quot;-&quot;??\ [$₫-42A]_-;_-@_-"/>
  </numFmts>
  <fonts count="8" x14ac:knownFonts="1">
    <font>
      <sz val="11"/>
      <color theme="1"/>
      <name val="Calibri"/>
      <family val="2"/>
      <charset val="163"/>
      <scheme val="minor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165" fontId="6" fillId="3" borderId="27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4" xfId="0" applyFont="1" applyBorder="1" applyAlignment="1">
      <alignment horizontal="right"/>
    </xf>
    <xf numFmtId="12" fontId="3" fillId="0" borderId="12" xfId="0" applyNumberFormat="1" applyFont="1" applyBorder="1" applyAlignment="1">
      <alignment vertical="center"/>
    </xf>
    <xf numFmtId="1" fontId="3" fillId="0" borderId="20" xfId="0" applyNumberFormat="1" applyFont="1" applyBorder="1" applyAlignment="1">
      <alignment horizontal="right"/>
    </xf>
    <xf numFmtId="1" fontId="3" fillId="0" borderId="12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right"/>
    </xf>
    <xf numFmtId="1" fontId="3" fillId="0" borderId="9" xfId="0" applyNumberFormat="1" applyFont="1" applyBorder="1" applyAlignment="1">
      <alignment horizontal="right"/>
    </xf>
    <xf numFmtId="12" fontId="3" fillId="0" borderId="10" xfId="0" applyNumberFormat="1" applyFont="1" applyBorder="1" applyAlignment="1">
      <alignment vertical="center"/>
    </xf>
    <xf numFmtId="0" fontId="3" fillId="0" borderId="1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7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3" fillId="0" borderId="1" xfId="0" applyFont="1" applyBorder="1"/>
    <xf numFmtId="0" fontId="3" fillId="0" borderId="10" xfId="0" applyFont="1" applyBorder="1"/>
    <xf numFmtId="0" fontId="6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9" xfId="0" applyFont="1" applyBorder="1"/>
    <xf numFmtId="0" fontId="3" fillId="0" borderId="11" xfId="0" applyFont="1" applyBorder="1"/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10" xfId="0" quotePrefix="1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D84-082C-4E5E-B94B-1685EF6B5CF6}">
  <dimension ref="C1:M24"/>
  <sheetViews>
    <sheetView zoomScale="81" workbookViewId="0">
      <selection activeCell="K13" sqref="K13"/>
    </sheetView>
  </sheetViews>
  <sheetFormatPr defaultRowHeight="14.4" x14ac:dyDescent="0.3"/>
  <cols>
    <col min="9" max="9" width="10.21875" customWidth="1"/>
    <col min="13" max="13" width="13.6640625" customWidth="1"/>
  </cols>
  <sheetData>
    <row r="1" spans="3:13" ht="15" thickBot="1" x14ac:dyDescent="0.35"/>
    <row r="2" spans="3:13" ht="15" customHeight="1" x14ac:dyDescent="0.3">
      <c r="C2" s="40" t="s">
        <v>0</v>
      </c>
      <c r="D2" s="41"/>
      <c r="E2" s="41"/>
      <c r="F2" s="41"/>
      <c r="G2" s="41"/>
      <c r="H2" s="41"/>
      <c r="I2" s="41"/>
      <c r="J2" s="41"/>
      <c r="K2" s="41"/>
      <c r="L2" s="41"/>
      <c r="M2" s="42"/>
    </row>
    <row r="3" spans="3:13" ht="14.4" customHeight="1" x14ac:dyDescent="0.3">
      <c r="C3" s="43"/>
      <c r="D3" s="44"/>
      <c r="E3" s="44"/>
      <c r="F3" s="44"/>
      <c r="G3" s="44"/>
      <c r="H3" s="44"/>
      <c r="I3" s="44"/>
      <c r="J3" s="44"/>
      <c r="K3" s="44"/>
      <c r="L3" s="44"/>
      <c r="M3" s="45"/>
    </row>
    <row r="4" spans="3:13" ht="15" customHeight="1" thickBot="1" x14ac:dyDescent="0.35">
      <c r="C4" s="46"/>
      <c r="D4" s="47"/>
      <c r="E4" s="47"/>
      <c r="F4" s="47"/>
      <c r="G4" s="47"/>
      <c r="H4" s="47"/>
      <c r="I4" s="47"/>
      <c r="J4" s="47"/>
      <c r="K4" s="47"/>
      <c r="L4" s="47"/>
      <c r="M4" s="48"/>
    </row>
    <row r="5" spans="3:13" ht="52.2" x14ac:dyDescent="0.3">
      <c r="C5" s="15" t="s">
        <v>1</v>
      </c>
      <c r="D5" s="18" t="s">
        <v>2</v>
      </c>
      <c r="E5" s="16" t="s">
        <v>3</v>
      </c>
      <c r="F5" s="16" t="s">
        <v>4</v>
      </c>
      <c r="G5" s="16" t="s">
        <v>93</v>
      </c>
      <c r="H5" s="16" t="s">
        <v>5</v>
      </c>
      <c r="I5" s="17" t="s">
        <v>6</v>
      </c>
      <c r="J5" s="16" t="s">
        <v>7</v>
      </c>
      <c r="K5" s="16" t="s">
        <v>8</v>
      </c>
      <c r="L5" s="18" t="s">
        <v>9</v>
      </c>
      <c r="M5" s="19" t="s">
        <v>22</v>
      </c>
    </row>
    <row r="6" spans="3:13" ht="18" x14ac:dyDescent="0.35">
      <c r="C6" s="8">
        <v>1</v>
      </c>
      <c r="D6" s="9" t="s">
        <v>94</v>
      </c>
      <c r="E6" s="9" t="s">
        <v>17</v>
      </c>
      <c r="F6" s="9">
        <v>1988</v>
      </c>
      <c r="G6" s="9">
        <v>10</v>
      </c>
      <c r="H6" s="9">
        <v>8</v>
      </c>
      <c r="I6" s="9">
        <v>9</v>
      </c>
      <c r="J6" s="10">
        <f>(G6*2+H6*2+I6)/5</f>
        <v>9</v>
      </c>
      <c r="K6" s="9" t="str">
        <f>IF(J6&gt;=5,"ĐẠT","RỚT")</f>
        <v>ĐẠT</v>
      </c>
      <c r="L6" s="9">
        <f>RANK(J6,$J$6:$K$17)</f>
        <v>1</v>
      </c>
      <c r="M6" s="11">
        <f>IF(L6=1,200000,IF(L6=2,100000,0))</f>
        <v>200000</v>
      </c>
    </row>
    <row r="7" spans="3:13" ht="18" x14ac:dyDescent="0.35">
      <c r="C7" s="8">
        <v>2</v>
      </c>
      <c r="D7" s="9" t="s">
        <v>13</v>
      </c>
      <c r="E7" s="9" t="s">
        <v>17</v>
      </c>
      <c r="F7" s="9">
        <v>1987</v>
      </c>
      <c r="G7" s="9">
        <v>8</v>
      </c>
      <c r="H7" s="9">
        <v>8.5</v>
      </c>
      <c r="I7" s="9">
        <v>9</v>
      </c>
      <c r="J7" s="10">
        <f t="shared" ref="J7:J17" si="0">(G7*2+H7*2+I7)/5</f>
        <v>8.4</v>
      </c>
      <c r="K7" s="9" t="str">
        <f t="shared" ref="K7:K17" si="1">IF(J7&gt;=5,"ĐẠT","RỚT")</f>
        <v>ĐẠT</v>
      </c>
      <c r="L7" s="9">
        <f t="shared" ref="L7:L17" si="2">RANK(J7,$J$6:$K$17)</f>
        <v>2</v>
      </c>
      <c r="M7" s="11">
        <f>IF(L7=1,200000,IF(L7=2,100000,0))</f>
        <v>100000</v>
      </c>
    </row>
    <row r="8" spans="3:13" ht="18" x14ac:dyDescent="0.35">
      <c r="C8" s="8">
        <v>3</v>
      </c>
      <c r="D8" s="9" t="s">
        <v>95</v>
      </c>
      <c r="E8" s="9" t="s">
        <v>17</v>
      </c>
      <c r="F8" s="9">
        <v>1986</v>
      </c>
      <c r="G8" s="9">
        <v>9</v>
      </c>
      <c r="H8" s="9">
        <v>8</v>
      </c>
      <c r="I8" s="9">
        <v>7</v>
      </c>
      <c r="J8" s="10">
        <f t="shared" si="0"/>
        <v>8.1999999999999993</v>
      </c>
      <c r="K8" s="9" t="str">
        <f t="shared" si="1"/>
        <v>ĐẠT</v>
      </c>
      <c r="L8" s="9">
        <f t="shared" si="2"/>
        <v>3</v>
      </c>
      <c r="M8" s="12">
        <f t="shared" ref="M8:M17" si="3">IF(L8=1,200,IF(L8=2,100,0))</f>
        <v>0</v>
      </c>
    </row>
    <row r="9" spans="3:13" ht="18" x14ac:dyDescent="0.35">
      <c r="C9" s="8">
        <v>4</v>
      </c>
      <c r="D9" s="9" t="s">
        <v>14</v>
      </c>
      <c r="E9" s="9" t="s">
        <v>21</v>
      </c>
      <c r="F9" s="9">
        <v>1988</v>
      </c>
      <c r="G9" s="9">
        <v>10</v>
      </c>
      <c r="H9" s="9">
        <v>4</v>
      </c>
      <c r="I9" s="9">
        <v>7</v>
      </c>
      <c r="J9" s="10">
        <f t="shared" si="0"/>
        <v>7</v>
      </c>
      <c r="K9" s="9" t="str">
        <f t="shared" si="1"/>
        <v>ĐẠT</v>
      </c>
      <c r="L9" s="9">
        <f t="shared" si="2"/>
        <v>4</v>
      </c>
      <c r="M9" s="12">
        <f t="shared" si="3"/>
        <v>0</v>
      </c>
    </row>
    <row r="10" spans="3:13" ht="18" x14ac:dyDescent="0.35">
      <c r="C10" s="8">
        <v>5</v>
      </c>
      <c r="D10" s="9" t="s">
        <v>15</v>
      </c>
      <c r="E10" s="9" t="s">
        <v>17</v>
      </c>
      <c r="F10" s="9">
        <v>1988</v>
      </c>
      <c r="G10" s="9">
        <v>9</v>
      </c>
      <c r="H10" s="9">
        <v>5</v>
      </c>
      <c r="I10" s="9">
        <v>6</v>
      </c>
      <c r="J10" s="10">
        <f t="shared" si="0"/>
        <v>6.8</v>
      </c>
      <c r="K10" s="9" t="str">
        <f t="shared" si="1"/>
        <v>ĐẠT</v>
      </c>
      <c r="L10" s="9">
        <f t="shared" si="2"/>
        <v>5</v>
      </c>
      <c r="M10" s="12">
        <f t="shared" si="3"/>
        <v>0</v>
      </c>
    </row>
    <row r="11" spans="3:13" ht="18" x14ac:dyDescent="0.35">
      <c r="C11" s="8">
        <v>6</v>
      </c>
      <c r="D11" s="9" t="s">
        <v>96</v>
      </c>
      <c r="E11" s="9" t="s">
        <v>21</v>
      </c>
      <c r="F11" s="9">
        <v>1987</v>
      </c>
      <c r="G11" s="9">
        <v>6</v>
      </c>
      <c r="H11" s="9">
        <v>6</v>
      </c>
      <c r="I11" s="9">
        <v>8</v>
      </c>
      <c r="J11" s="10">
        <f t="shared" si="0"/>
        <v>6.4</v>
      </c>
      <c r="K11" s="9" t="str">
        <f t="shared" si="1"/>
        <v>ĐẠT</v>
      </c>
      <c r="L11" s="9">
        <f t="shared" si="2"/>
        <v>6</v>
      </c>
      <c r="M11" s="12">
        <f t="shared" si="3"/>
        <v>0</v>
      </c>
    </row>
    <row r="12" spans="3:13" ht="18" x14ac:dyDescent="0.35">
      <c r="C12" s="8">
        <v>7</v>
      </c>
      <c r="D12" s="9" t="s">
        <v>16</v>
      </c>
      <c r="E12" s="9" t="s">
        <v>17</v>
      </c>
      <c r="F12" s="9">
        <v>1986</v>
      </c>
      <c r="G12" s="9">
        <v>7.5</v>
      </c>
      <c r="H12" s="9">
        <v>5</v>
      </c>
      <c r="I12" s="9">
        <v>6</v>
      </c>
      <c r="J12" s="10">
        <f t="shared" si="0"/>
        <v>6.2</v>
      </c>
      <c r="K12" s="9" t="str">
        <f t="shared" si="1"/>
        <v>ĐẠT</v>
      </c>
      <c r="L12" s="9">
        <f t="shared" si="2"/>
        <v>7</v>
      </c>
      <c r="M12" s="12">
        <f t="shared" si="3"/>
        <v>0</v>
      </c>
    </row>
    <row r="13" spans="3:13" ht="18" x14ac:dyDescent="0.35">
      <c r="C13" s="8">
        <v>8</v>
      </c>
      <c r="D13" s="9" t="s">
        <v>17</v>
      </c>
      <c r="E13" s="9" t="s">
        <v>17</v>
      </c>
      <c r="F13" s="9">
        <v>1988</v>
      </c>
      <c r="G13" s="9">
        <v>3</v>
      </c>
      <c r="H13" s="9">
        <v>9</v>
      </c>
      <c r="I13" s="9">
        <v>7</v>
      </c>
      <c r="J13" s="10">
        <f t="shared" si="0"/>
        <v>6.2</v>
      </c>
      <c r="K13" s="9" t="str">
        <f t="shared" si="1"/>
        <v>ĐẠT</v>
      </c>
      <c r="L13" s="9">
        <f t="shared" si="2"/>
        <v>7</v>
      </c>
      <c r="M13" s="12">
        <f t="shared" si="3"/>
        <v>0</v>
      </c>
    </row>
    <row r="14" spans="3:13" ht="18" x14ac:dyDescent="0.35">
      <c r="C14" s="8">
        <v>9</v>
      </c>
      <c r="D14" s="9" t="s">
        <v>18</v>
      </c>
      <c r="E14" s="9" t="s">
        <v>97</v>
      </c>
      <c r="F14" s="9">
        <v>1988</v>
      </c>
      <c r="G14" s="9">
        <v>4</v>
      </c>
      <c r="H14" s="9">
        <v>5</v>
      </c>
      <c r="I14" s="9">
        <v>5.5</v>
      </c>
      <c r="J14" s="10">
        <f t="shared" si="0"/>
        <v>4.7</v>
      </c>
      <c r="K14" s="9" t="str">
        <f t="shared" si="1"/>
        <v>RỚT</v>
      </c>
      <c r="L14" s="9">
        <f t="shared" si="2"/>
        <v>10</v>
      </c>
      <c r="M14" s="12">
        <f t="shared" si="3"/>
        <v>0</v>
      </c>
    </row>
    <row r="15" spans="3:13" ht="18" x14ac:dyDescent="0.35">
      <c r="C15" s="8">
        <v>10</v>
      </c>
      <c r="D15" s="9" t="s">
        <v>19</v>
      </c>
      <c r="E15" s="9" t="s">
        <v>21</v>
      </c>
      <c r="F15" s="9">
        <v>1988</v>
      </c>
      <c r="G15" s="9">
        <v>4.5</v>
      </c>
      <c r="H15" s="9">
        <v>6</v>
      </c>
      <c r="I15" s="9">
        <v>4</v>
      </c>
      <c r="J15" s="10">
        <f t="shared" si="0"/>
        <v>5</v>
      </c>
      <c r="K15" s="9" t="str">
        <f t="shared" si="1"/>
        <v>ĐẠT</v>
      </c>
      <c r="L15" s="9">
        <f t="shared" si="2"/>
        <v>9</v>
      </c>
      <c r="M15" s="12">
        <f t="shared" si="3"/>
        <v>0</v>
      </c>
    </row>
    <row r="16" spans="3:13" ht="18" x14ac:dyDescent="0.35">
      <c r="C16" s="8">
        <v>11</v>
      </c>
      <c r="D16" s="9" t="s">
        <v>98</v>
      </c>
      <c r="E16" s="9" t="s">
        <v>17</v>
      </c>
      <c r="F16" s="9">
        <v>1987</v>
      </c>
      <c r="G16" s="9">
        <v>3</v>
      </c>
      <c r="H16" s="9">
        <v>5</v>
      </c>
      <c r="I16" s="9">
        <v>5</v>
      </c>
      <c r="J16" s="10">
        <f t="shared" si="0"/>
        <v>4.2</v>
      </c>
      <c r="K16" s="9" t="str">
        <f t="shared" si="1"/>
        <v>RỚT</v>
      </c>
      <c r="L16" s="9">
        <f t="shared" si="2"/>
        <v>11</v>
      </c>
      <c r="M16" s="12">
        <f t="shared" si="3"/>
        <v>0</v>
      </c>
    </row>
    <row r="17" spans="3:13" ht="18" x14ac:dyDescent="0.35">
      <c r="C17" s="8">
        <v>12</v>
      </c>
      <c r="D17" s="9" t="s">
        <v>20</v>
      </c>
      <c r="E17" s="9" t="s">
        <v>17</v>
      </c>
      <c r="F17" s="9">
        <v>1986</v>
      </c>
      <c r="G17" s="9">
        <v>4</v>
      </c>
      <c r="H17" s="9">
        <v>3</v>
      </c>
      <c r="I17" s="9">
        <v>5</v>
      </c>
      <c r="J17" s="10">
        <f t="shared" si="0"/>
        <v>3.8</v>
      </c>
      <c r="K17" s="9" t="str">
        <f t="shared" si="1"/>
        <v>RỚT</v>
      </c>
      <c r="L17" s="9">
        <f t="shared" si="2"/>
        <v>12</v>
      </c>
      <c r="M17" s="12">
        <f t="shared" si="3"/>
        <v>0</v>
      </c>
    </row>
    <row r="18" spans="3:13" ht="18" x14ac:dyDescent="0.35">
      <c r="C18" s="38" t="s">
        <v>10</v>
      </c>
      <c r="D18" s="39"/>
      <c r="E18" s="39"/>
      <c r="F18" s="39"/>
      <c r="G18" s="9">
        <f>AVERAGE(G6:G17)</f>
        <v>6.5</v>
      </c>
      <c r="H18" s="10">
        <f t="shared" ref="H18:I18" si="4">AVERAGE(H6:H17)</f>
        <v>6.041666666666667</v>
      </c>
      <c r="I18" s="10">
        <f t="shared" si="4"/>
        <v>6.541666666666667</v>
      </c>
      <c r="J18" s="10">
        <f>AVERAGE(J6:J17)</f>
        <v>6.3250000000000002</v>
      </c>
      <c r="K18" s="9"/>
      <c r="L18" s="10"/>
      <c r="M18" s="12"/>
    </row>
    <row r="19" spans="3:13" ht="18" x14ac:dyDescent="0.35">
      <c r="C19" s="38" t="s">
        <v>11</v>
      </c>
      <c r="D19" s="39"/>
      <c r="E19" s="39"/>
      <c r="F19" s="39"/>
      <c r="G19" s="9">
        <f>MAX(G6:G17)</f>
        <v>10</v>
      </c>
      <c r="H19" s="9">
        <f t="shared" ref="H19:I19" si="5">MAX(H6:H17)</f>
        <v>9</v>
      </c>
      <c r="I19" s="9">
        <f t="shared" si="5"/>
        <v>9</v>
      </c>
      <c r="J19" s="9">
        <f>MAX(J6:J17)</f>
        <v>9</v>
      </c>
      <c r="K19" s="9"/>
      <c r="L19" s="9"/>
      <c r="M19" s="12"/>
    </row>
    <row r="20" spans="3:13" ht="18.600000000000001" thickBot="1" x14ac:dyDescent="0.4">
      <c r="C20" s="49" t="s">
        <v>12</v>
      </c>
      <c r="D20" s="50"/>
      <c r="E20" s="50"/>
      <c r="F20" s="50"/>
      <c r="G20" s="13">
        <f>MIN(G6:G17)</f>
        <v>3</v>
      </c>
      <c r="H20" s="13">
        <f t="shared" ref="H20:J20" si="6">MIN(H6:H17)</f>
        <v>3</v>
      </c>
      <c r="I20" s="13">
        <f t="shared" si="6"/>
        <v>4</v>
      </c>
      <c r="J20" s="13">
        <f t="shared" si="6"/>
        <v>3.8</v>
      </c>
      <c r="K20" s="13"/>
      <c r="L20" s="13"/>
      <c r="M20" s="14"/>
    </row>
    <row r="23" spans="3:13" ht="14.4" customHeight="1" x14ac:dyDescent="0.3"/>
    <row r="24" spans="3:13" ht="14.4" customHeight="1" x14ac:dyDescent="0.3"/>
  </sheetData>
  <mergeCells count="4">
    <mergeCell ref="C18:F18"/>
    <mergeCell ref="C19:F19"/>
    <mergeCell ref="C2:M4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79DF-7C88-44E2-A824-C81D8000F77C}">
  <dimension ref="B1:J10"/>
  <sheetViews>
    <sheetView zoomScale="105" zoomScaleNormal="175" workbookViewId="0">
      <selection activeCell="D12" sqref="D12"/>
    </sheetView>
  </sheetViews>
  <sheetFormatPr defaultRowHeight="14.4" x14ac:dyDescent="0.3"/>
  <cols>
    <col min="2" max="2" width="4.6640625" customWidth="1"/>
    <col min="3" max="3" width="13.88671875" customWidth="1"/>
    <col min="6" max="6" width="17.33203125" customWidth="1"/>
    <col min="7" max="7" width="16.21875" customWidth="1"/>
    <col min="8" max="8" width="14.5546875" customWidth="1"/>
    <col min="9" max="9" width="14" customWidth="1"/>
  </cols>
  <sheetData>
    <row r="1" spans="2:10" ht="15" thickBot="1" x14ac:dyDescent="0.35"/>
    <row r="2" spans="2:10" ht="14.4" customHeight="1" x14ac:dyDescent="0.3">
      <c r="B2" s="108" t="s">
        <v>23</v>
      </c>
      <c r="C2" s="109"/>
      <c r="D2" s="109"/>
      <c r="E2" s="109"/>
      <c r="F2" s="109"/>
      <c r="G2" s="109"/>
      <c r="H2" s="109"/>
      <c r="I2" s="110"/>
      <c r="J2" s="1"/>
    </row>
    <row r="3" spans="2:10" ht="14.4" customHeight="1" x14ac:dyDescent="0.3">
      <c r="B3" s="111"/>
      <c r="C3" s="112"/>
      <c r="D3" s="112"/>
      <c r="E3" s="112"/>
      <c r="F3" s="112"/>
      <c r="G3" s="112"/>
      <c r="H3" s="112"/>
      <c r="I3" s="113"/>
      <c r="J3" s="1"/>
    </row>
    <row r="4" spans="2:10" ht="18" x14ac:dyDescent="0.35">
      <c r="B4" s="114" t="s">
        <v>1</v>
      </c>
      <c r="C4" s="36" t="s">
        <v>24</v>
      </c>
      <c r="D4" s="36" t="s">
        <v>25</v>
      </c>
      <c r="E4" s="36" t="s">
        <v>3</v>
      </c>
      <c r="F4" s="36" t="s">
        <v>29</v>
      </c>
      <c r="G4" s="36" t="s">
        <v>26</v>
      </c>
      <c r="H4" s="36" t="s">
        <v>27</v>
      </c>
      <c r="I4" s="115" t="s">
        <v>28</v>
      </c>
    </row>
    <row r="5" spans="2:10" ht="18" x14ac:dyDescent="0.35">
      <c r="B5" s="20">
        <v>1</v>
      </c>
      <c r="C5" s="9" t="s">
        <v>30</v>
      </c>
      <c r="D5" s="9" t="s">
        <v>36</v>
      </c>
      <c r="E5" s="9" t="s">
        <v>17</v>
      </c>
      <c r="F5" s="9">
        <v>25</v>
      </c>
      <c r="G5" s="37">
        <f>IF(E5="NỮ",200000,0)</f>
        <v>0</v>
      </c>
      <c r="H5" s="9">
        <f>IF(F6&gt;=24,300000,0)</f>
        <v>300000</v>
      </c>
      <c r="I5" s="12">
        <f>IF(OR(AND(E5="NAM",F5&gt;26),AND(E5="NỮ",F5&gt;25)),100000,0)</f>
        <v>0</v>
      </c>
    </row>
    <row r="6" spans="2:10" ht="18" x14ac:dyDescent="0.35">
      <c r="B6" s="20">
        <v>2</v>
      </c>
      <c r="C6" s="9" t="s">
        <v>31</v>
      </c>
      <c r="D6" s="9" t="s">
        <v>37</v>
      </c>
      <c r="E6" s="9" t="s">
        <v>17</v>
      </c>
      <c r="F6" s="9">
        <v>24</v>
      </c>
      <c r="G6" s="37">
        <f t="shared" ref="G6:G10" si="0">IF(E6="NỮ",200000,0)</f>
        <v>0</v>
      </c>
      <c r="H6" s="9">
        <f t="shared" ref="H6:H10" si="1">IF(F7&gt;=24,300000,0)</f>
        <v>300000</v>
      </c>
      <c r="I6" s="12">
        <f t="shared" ref="I6:I10" si="2">IF(OR(AND(E6="NAM",F6&gt;26),AND(E6="NỮ",F6&gt;25)),100000,0)</f>
        <v>0</v>
      </c>
    </row>
    <row r="7" spans="2:10" ht="18" x14ac:dyDescent="0.35">
      <c r="B7" s="20">
        <v>3</v>
      </c>
      <c r="C7" s="9" t="s">
        <v>32</v>
      </c>
      <c r="D7" s="9" t="s">
        <v>38</v>
      </c>
      <c r="E7" s="9" t="s">
        <v>21</v>
      </c>
      <c r="F7" s="9">
        <v>26</v>
      </c>
      <c r="G7" s="37">
        <f t="shared" si="0"/>
        <v>200000</v>
      </c>
      <c r="H7" s="9">
        <f t="shared" si="1"/>
        <v>0</v>
      </c>
      <c r="I7" s="12">
        <f t="shared" si="2"/>
        <v>100000</v>
      </c>
    </row>
    <row r="8" spans="2:10" ht="18" x14ac:dyDescent="0.35">
      <c r="B8" s="20">
        <v>4</v>
      </c>
      <c r="C8" s="9" t="s">
        <v>33</v>
      </c>
      <c r="D8" s="9" t="s">
        <v>39</v>
      </c>
      <c r="E8" s="9" t="s">
        <v>21</v>
      </c>
      <c r="F8" s="9">
        <v>22</v>
      </c>
      <c r="G8" s="37">
        <f t="shared" si="0"/>
        <v>200000</v>
      </c>
      <c r="H8" s="9">
        <f t="shared" si="1"/>
        <v>300000</v>
      </c>
      <c r="I8" s="12">
        <f t="shared" si="2"/>
        <v>0</v>
      </c>
    </row>
    <row r="9" spans="2:10" ht="18" x14ac:dyDescent="0.35">
      <c r="B9" s="20">
        <v>5</v>
      </c>
      <c r="C9" s="9" t="s">
        <v>34</v>
      </c>
      <c r="D9" s="9" t="s">
        <v>40</v>
      </c>
      <c r="E9" s="9" t="s">
        <v>17</v>
      </c>
      <c r="F9" s="9">
        <v>27</v>
      </c>
      <c r="G9" s="37">
        <f t="shared" si="0"/>
        <v>0</v>
      </c>
      <c r="H9" s="9">
        <f t="shared" si="1"/>
        <v>300000</v>
      </c>
      <c r="I9" s="12">
        <f t="shared" si="2"/>
        <v>100000</v>
      </c>
    </row>
    <row r="10" spans="2:10" ht="18.600000000000001" thickBot="1" x14ac:dyDescent="0.4">
      <c r="B10" s="96">
        <v>6</v>
      </c>
      <c r="C10" s="13" t="s">
        <v>35</v>
      </c>
      <c r="D10" s="13" t="s">
        <v>41</v>
      </c>
      <c r="E10" s="13" t="s">
        <v>21</v>
      </c>
      <c r="F10" s="13">
        <v>25</v>
      </c>
      <c r="G10" s="116">
        <f t="shared" si="0"/>
        <v>200000</v>
      </c>
      <c r="H10" s="13">
        <f t="shared" si="1"/>
        <v>0</v>
      </c>
      <c r="I10" s="14">
        <f t="shared" si="2"/>
        <v>0</v>
      </c>
    </row>
  </sheetData>
  <mergeCells count="1">
    <mergeCell ref="B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06E4-8824-4A98-9698-EF8A2BB6B306}">
  <dimension ref="B1:L21"/>
  <sheetViews>
    <sheetView tabSelected="1" zoomScale="83" zoomScaleNormal="100" workbookViewId="0">
      <selection activeCell="I26" sqref="I26"/>
    </sheetView>
  </sheetViews>
  <sheetFormatPr defaultRowHeight="14.4" x14ac:dyDescent="0.3"/>
  <cols>
    <col min="3" max="3" width="19.77734375" customWidth="1"/>
    <col min="4" max="4" width="10.6640625" customWidth="1"/>
    <col min="5" max="5" width="14.109375" customWidth="1"/>
    <col min="6" max="6" width="12.21875" customWidth="1"/>
    <col min="7" max="7" width="11.21875" customWidth="1"/>
    <col min="8" max="8" width="9.109375" customWidth="1"/>
    <col min="9" max="9" width="19.77734375" customWidth="1"/>
    <col min="10" max="10" width="11.6640625" customWidth="1"/>
    <col min="11" max="11" width="15.109375" customWidth="1"/>
    <col min="12" max="12" width="11" customWidth="1"/>
  </cols>
  <sheetData>
    <row r="1" spans="2:12" ht="15" thickBot="1" x14ac:dyDescent="0.35"/>
    <row r="2" spans="2:12" ht="31.2" x14ac:dyDescent="0.3">
      <c r="B2" s="2" t="s">
        <v>1</v>
      </c>
      <c r="C2" s="3" t="s">
        <v>42</v>
      </c>
      <c r="D2" s="4" t="s">
        <v>43</v>
      </c>
      <c r="E2" s="7" t="s">
        <v>44</v>
      </c>
      <c r="F2" s="3" t="s">
        <v>45</v>
      </c>
      <c r="G2" s="3" t="s">
        <v>46</v>
      </c>
      <c r="H2" s="6" t="s">
        <v>74</v>
      </c>
      <c r="I2" s="3" t="s">
        <v>47</v>
      </c>
      <c r="J2" s="5" t="s">
        <v>92</v>
      </c>
      <c r="K2" s="5" t="s">
        <v>48</v>
      </c>
      <c r="L2" s="35" t="s">
        <v>49</v>
      </c>
    </row>
    <row r="3" spans="2:12" ht="18" x14ac:dyDescent="0.35">
      <c r="B3" s="20">
        <v>1</v>
      </c>
      <c r="C3" s="9" t="s">
        <v>50</v>
      </c>
      <c r="D3" s="9" t="s">
        <v>65</v>
      </c>
      <c r="E3" s="21">
        <v>24524</v>
      </c>
      <c r="F3" s="9">
        <v>120000</v>
      </c>
      <c r="G3" s="9">
        <v>25</v>
      </c>
      <c r="H3" s="22">
        <f ca="1">YEAR(TODAY())-YEAR(E3)</f>
        <v>58</v>
      </c>
      <c r="I3" s="23">
        <f>F3*G3</f>
        <v>3000000</v>
      </c>
      <c r="J3" s="24">
        <f>IF(D3="GĐ",500000,IF(D3="PGĐ",400000,IF(D3="TP",300000,IF(D3="PP",200000,100000))))</f>
        <v>300000</v>
      </c>
      <c r="K3" s="24">
        <f>80%*I3</f>
        <v>2400000</v>
      </c>
      <c r="L3" s="25">
        <f>I3+J3-K3</f>
        <v>900000</v>
      </c>
    </row>
    <row r="4" spans="2:12" ht="18" x14ac:dyDescent="0.35">
      <c r="B4" s="20">
        <v>2</v>
      </c>
      <c r="C4" s="9" t="s">
        <v>51</v>
      </c>
      <c r="D4" s="9" t="s">
        <v>66</v>
      </c>
      <c r="E4" s="21">
        <v>27659</v>
      </c>
      <c r="F4" s="9">
        <v>160000</v>
      </c>
      <c r="G4" s="9">
        <v>24</v>
      </c>
      <c r="H4" s="22">
        <f t="shared" ref="H4:H17" ca="1" si="0">YEAR(TODAY())-YEAR(E4)</f>
        <v>50</v>
      </c>
      <c r="I4" s="23">
        <f t="shared" ref="I4:I17" si="1">F4*G4</f>
        <v>3840000</v>
      </c>
      <c r="J4" s="24">
        <f t="shared" ref="J4:J17" si="2">IF(D4="GĐ",500000,IF(D4="PGĐ",400000,IF(D4="TP",300000,IF(D4="PP",200000,100000))))</f>
        <v>100000</v>
      </c>
      <c r="K4" s="24">
        <f t="shared" ref="K4:K17" si="3">80%*I4</f>
        <v>3072000</v>
      </c>
      <c r="L4" s="25">
        <f t="shared" ref="L4:L19" si="4">I4+J4-K4</f>
        <v>868000</v>
      </c>
    </row>
    <row r="5" spans="2:12" ht="18" x14ac:dyDescent="0.35">
      <c r="B5" s="20">
        <v>3</v>
      </c>
      <c r="C5" s="9" t="s">
        <v>52</v>
      </c>
      <c r="D5" s="9" t="s">
        <v>67</v>
      </c>
      <c r="E5" s="21">
        <v>24972</v>
      </c>
      <c r="F5" s="9">
        <v>150000</v>
      </c>
      <c r="G5" s="9">
        <v>26</v>
      </c>
      <c r="H5" s="22">
        <f t="shared" ca="1" si="0"/>
        <v>57</v>
      </c>
      <c r="I5" s="23">
        <f t="shared" si="1"/>
        <v>3900000</v>
      </c>
      <c r="J5" s="24">
        <f t="shared" si="2"/>
        <v>200000</v>
      </c>
      <c r="K5" s="24">
        <f t="shared" si="3"/>
        <v>3120000</v>
      </c>
      <c r="L5" s="25">
        <f t="shared" si="4"/>
        <v>980000</v>
      </c>
    </row>
    <row r="6" spans="2:12" ht="18" x14ac:dyDescent="0.35">
      <c r="B6" s="20">
        <v>4</v>
      </c>
      <c r="C6" s="9" t="s">
        <v>53</v>
      </c>
      <c r="D6" s="9" t="s">
        <v>66</v>
      </c>
      <c r="E6" s="21">
        <v>21231</v>
      </c>
      <c r="F6" s="9">
        <v>130000</v>
      </c>
      <c r="G6" s="9">
        <v>20</v>
      </c>
      <c r="H6" s="22">
        <f t="shared" ca="1" si="0"/>
        <v>67</v>
      </c>
      <c r="I6" s="23">
        <f t="shared" si="1"/>
        <v>2600000</v>
      </c>
      <c r="J6" s="24">
        <f t="shared" si="2"/>
        <v>100000</v>
      </c>
      <c r="K6" s="24">
        <f t="shared" si="3"/>
        <v>2080000</v>
      </c>
      <c r="L6" s="25">
        <f t="shared" si="4"/>
        <v>620000</v>
      </c>
    </row>
    <row r="7" spans="2:12" ht="18" x14ac:dyDescent="0.35">
      <c r="B7" s="20">
        <v>5</v>
      </c>
      <c r="C7" s="9" t="s">
        <v>54</v>
      </c>
      <c r="D7" s="9" t="s">
        <v>68</v>
      </c>
      <c r="E7" s="21">
        <v>28728</v>
      </c>
      <c r="F7" s="9">
        <v>180000</v>
      </c>
      <c r="G7" s="9">
        <v>23</v>
      </c>
      <c r="H7" s="22">
        <f t="shared" ca="1" si="0"/>
        <v>47</v>
      </c>
      <c r="I7" s="23">
        <f t="shared" si="1"/>
        <v>4140000</v>
      </c>
      <c r="J7" s="24">
        <f t="shared" si="2"/>
        <v>100000</v>
      </c>
      <c r="K7" s="24">
        <f t="shared" si="3"/>
        <v>3312000</v>
      </c>
      <c r="L7" s="25">
        <f t="shared" si="4"/>
        <v>928000</v>
      </c>
    </row>
    <row r="8" spans="2:12" ht="18" x14ac:dyDescent="0.35">
      <c r="B8" s="20">
        <v>6</v>
      </c>
      <c r="C8" s="9" t="s">
        <v>55</v>
      </c>
      <c r="D8" s="9" t="s">
        <v>69</v>
      </c>
      <c r="E8" s="21">
        <v>25432</v>
      </c>
      <c r="F8" s="9">
        <v>150000</v>
      </c>
      <c r="G8" s="9">
        <v>24</v>
      </c>
      <c r="H8" s="22">
        <f t="shared" ca="1" si="0"/>
        <v>56</v>
      </c>
      <c r="I8" s="23">
        <f t="shared" si="1"/>
        <v>3600000</v>
      </c>
      <c r="J8" s="24">
        <f t="shared" si="2"/>
        <v>100000</v>
      </c>
      <c r="K8" s="24">
        <f t="shared" si="3"/>
        <v>2880000</v>
      </c>
      <c r="L8" s="25">
        <f t="shared" si="4"/>
        <v>820000</v>
      </c>
    </row>
    <row r="9" spans="2:12" ht="18" x14ac:dyDescent="0.35">
      <c r="B9" s="20">
        <v>7</v>
      </c>
      <c r="C9" s="9" t="s">
        <v>56</v>
      </c>
      <c r="D9" s="9" t="s">
        <v>67</v>
      </c>
      <c r="E9" s="21">
        <v>25430</v>
      </c>
      <c r="F9" s="9">
        <v>140000</v>
      </c>
      <c r="G9" s="9">
        <v>27</v>
      </c>
      <c r="H9" s="22">
        <f t="shared" ca="1" si="0"/>
        <v>56</v>
      </c>
      <c r="I9" s="23">
        <f t="shared" si="1"/>
        <v>3780000</v>
      </c>
      <c r="J9" s="24">
        <f t="shared" si="2"/>
        <v>200000</v>
      </c>
      <c r="K9" s="24">
        <f t="shared" si="3"/>
        <v>3024000</v>
      </c>
      <c r="L9" s="25">
        <f t="shared" si="4"/>
        <v>956000</v>
      </c>
    </row>
    <row r="10" spans="2:12" ht="18" x14ac:dyDescent="0.35">
      <c r="B10" s="20">
        <v>8</v>
      </c>
      <c r="C10" s="9" t="s">
        <v>57</v>
      </c>
      <c r="D10" s="9" t="s">
        <v>70</v>
      </c>
      <c r="E10" s="21">
        <v>20796</v>
      </c>
      <c r="F10" s="9">
        <v>160000</v>
      </c>
      <c r="G10" s="9">
        <v>14</v>
      </c>
      <c r="H10" s="22">
        <f t="shared" ca="1" si="0"/>
        <v>69</v>
      </c>
      <c r="I10" s="23">
        <f t="shared" si="1"/>
        <v>2240000</v>
      </c>
      <c r="J10" s="24">
        <f t="shared" si="2"/>
        <v>500000</v>
      </c>
      <c r="K10" s="24">
        <f t="shared" si="3"/>
        <v>1792000</v>
      </c>
      <c r="L10" s="25">
        <f t="shared" si="4"/>
        <v>948000</v>
      </c>
    </row>
    <row r="11" spans="2:12" ht="18" x14ac:dyDescent="0.35">
      <c r="B11" s="20">
        <v>9</v>
      </c>
      <c r="C11" s="9" t="s">
        <v>58</v>
      </c>
      <c r="D11" s="9" t="s">
        <v>69</v>
      </c>
      <c r="E11" s="21">
        <v>22194</v>
      </c>
      <c r="F11" s="9">
        <v>150000</v>
      </c>
      <c r="G11" s="9">
        <v>17</v>
      </c>
      <c r="H11" s="22">
        <f t="shared" ca="1" si="0"/>
        <v>65</v>
      </c>
      <c r="I11" s="23">
        <f t="shared" si="1"/>
        <v>2550000</v>
      </c>
      <c r="J11" s="24">
        <f t="shared" si="2"/>
        <v>100000</v>
      </c>
      <c r="K11" s="24">
        <f t="shared" si="3"/>
        <v>2040000</v>
      </c>
      <c r="L11" s="25">
        <f t="shared" si="4"/>
        <v>610000</v>
      </c>
    </row>
    <row r="12" spans="2:12" ht="18" x14ac:dyDescent="0.35">
      <c r="B12" s="20">
        <v>10</v>
      </c>
      <c r="C12" s="9" t="s">
        <v>59</v>
      </c>
      <c r="D12" s="9" t="s">
        <v>66</v>
      </c>
      <c r="E12" s="21">
        <v>19859</v>
      </c>
      <c r="F12" s="9">
        <v>130000</v>
      </c>
      <c r="G12" s="9">
        <v>23</v>
      </c>
      <c r="H12" s="22">
        <f t="shared" ca="1" si="0"/>
        <v>71</v>
      </c>
      <c r="I12" s="23">
        <f t="shared" si="1"/>
        <v>2990000</v>
      </c>
      <c r="J12" s="24">
        <f t="shared" si="2"/>
        <v>100000</v>
      </c>
      <c r="K12" s="24">
        <f t="shared" si="3"/>
        <v>2392000</v>
      </c>
      <c r="L12" s="25">
        <f t="shared" si="4"/>
        <v>698000</v>
      </c>
    </row>
    <row r="13" spans="2:12" ht="18" x14ac:dyDescent="0.35">
      <c r="B13" s="20">
        <v>11</v>
      </c>
      <c r="C13" s="9" t="s">
        <v>60</v>
      </c>
      <c r="D13" s="9" t="s">
        <v>65</v>
      </c>
      <c r="E13" s="21">
        <v>24731</v>
      </c>
      <c r="F13" s="9">
        <v>180000</v>
      </c>
      <c r="G13" s="9">
        <v>22</v>
      </c>
      <c r="H13" s="22">
        <f t="shared" ca="1" si="0"/>
        <v>58</v>
      </c>
      <c r="I13" s="23">
        <f t="shared" si="1"/>
        <v>3960000</v>
      </c>
      <c r="J13" s="24">
        <f t="shared" si="2"/>
        <v>300000</v>
      </c>
      <c r="K13" s="24">
        <f t="shared" si="3"/>
        <v>3168000</v>
      </c>
      <c r="L13" s="25">
        <f t="shared" si="4"/>
        <v>1092000</v>
      </c>
    </row>
    <row r="14" spans="2:12" ht="18" x14ac:dyDescent="0.35">
      <c r="B14" s="20">
        <v>12</v>
      </c>
      <c r="C14" s="9" t="s">
        <v>61</v>
      </c>
      <c r="D14" s="9" t="s">
        <v>66</v>
      </c>
      <c r="E14" s="21">
        <v>25465</v>
      </c>
      <c r="F14" s="9">
        <v>150000</v>
      </c>
      <c r="G14" s="9">
        <v>14</v>
      </c>
      <c r="H14" s="22">
        <f t="shared" ca="1" si="0"/>
        <v>56</v>
      </c>
      <c r="I14" s="23">
        <f t="shared" si="1"/>
        <v>2100000</v>
      </c>
      <c r="J14" s="24">
        <f t="shared" si="2"/>
        <v>100000</v>
      </c>
      <c r="K14" s="24">
        <f t="shared" si="3"/>
        <v>1680000</v>
      </c>
      <c r="L14" s="25">
        <f t="shared" si="4"/>
        <v>520000</v>
      </c>
    </row>
    <row r="15" spans="2:12" ht="18" x14ac:dyDescent="0.35">
      <c r="B15" s="20">
        <v>13</v>
      </c>
      <c r="C15" s="9" t="s">
        <v>62</v>
      </c>
      <c r="D15" s="9" t="s">
        <v>71</v>
      </c>
      <c r="E15" s="21">
        <v>21438</v>
      </c>
      <c r="F15" s="9">
        <v>180000</v>
      </c>
      <c r="G15" s="9">
        <v>23</v>
      </c>
      <c r="H15" s="22">
        <f t="shared" ca="1" si="0"/>
        <v>67</v>
      </c>
      <c r="I15" s="23">
        <f t="shared" si="1"/>
        <v>4140000</v>
      </c>
      <c r="J15" s="24">
        <f t="shared" si="2"/>
        <v>400000</v>
      </c>
      <c r="K15" s="24">
        <f t="shared" si="3"/>
        <v>3312000</v>
      </c>
      <c r="L15" s="25">
        <f t="shared" si="4"/>
        <v>1228000</v>
      </c>
    </row>
    <row r="16" spans="2:12" ht="18" x14ac:dyDescent="0.35">
      <c r="B16" s="20">
        <v>14</v>
      </c>
      <c r="C16" s="9" t="s">
        <v>63</v>
      </c>
      <c r="D16" s="9" t="s">
        <v>65</v>
      </c>
      <c r="E16" s="21">
        <v>19983</v>
      </c>
      <c r="F16" s="9">
        <v>160000</v>
      </c>
      <c r="G16" s="9">
        <v>27</v>
      </c>
      <c r="H16" s="22">
        <f t="shared" ca="1" si="0"/>
        <v>71</v>
      </c>
      <c r="I16" s="23">
        <f t="shared" si="1"/>
        <v>4320000</v>
      </c>
      <c r="J16" s="24">
        <f t="shared" si="2"/>
        <v>300000</v>
      </c>
      <c r="K16" s="24">
        <f t="shared" si="3"/>
        <v>3456000</v>
      </c>
      <c r="L16" s="25">
        <f t="shared" si="4"/>
        <v>1164000</v>
      </c>
    </row>
    <row r="17" spans="2:12" ht="18" x14ac:dyDescent="0.35">
      <c r="B17" s="20">
        <v>15</v>
      </c>
      <c r="C17" s="9" t="s">
        <v>64</v>
      </c>
      <c r="D17" s="9" t="s">
        <v>69</v>
      </c>
      <c r="E17" s="21">
        <v>25074</v>
      </c>
      <c r="F17" s="9">
        <v>130000</v>
      </c>
      <c r="G17" s="9">
        <v>26</v>
      </c>
      <c r="H17" s="22">
        <f t="shared" ca="1" si="0"/>
        <v>57</v>
      </c>
      <c r="I17" s="23">
        <f t="shared" si="1"/>
        <v>3380000</v>
      </c>
      <c r="J17" s="24">
        <f t="shared" si="2"/>
        <v>100000</v>
      </c>
      <c r="K17" s="24">
        <f t="shared" si="3"/>
        <v>2704000</v>
      </c>
      <c r="L17" s="25">
        <f t="shared" si="4"/>
        <v>776000</v>
      </c>
    </row>
    <row r="18" spans="2:12" ht="18.600000000000001" thickBot="1" x14ac:dyDescent="0.4">
      <c r="B18" s="51" t="s">
        <v>72</v>
      </c>
      <c r="C18" s="52"/>
      <c r="D18" s="52"/>
      <c r="E18" s="52"/>
      <c r="F18" s="52"/>
      <c r="G18" s="53"/>
      <c r="H18" s="26">
        <f ca="1">SUM(H3:H17)</f>
        <v>905</v>
      </c>
      <c r="I18" s="23">
        <f>SUM(I3:I17)</f>
        <v>50540000</v>
      </c>
      <c r="J18" s="24">
        <f>SUM(J3:J17)</f>
        <v>3000000</v>
      </c>
      <c r="K18" s="27">
        <f>SUM(K3:K17)</f>
        <v>40432000</v>
      </c>
      <c r="L18" s="11">
        <f t="shared" si="4"/>
        <v>13108000</v>
      </c>
    </row>
    <row r="19" spans="2:12" ht="18.600000000000001" thickBot="1" x14ac:dyDescent="0.4">
      <c r="B19" s="54" t="s">
        <v>73</v>
      </c>
      <c r="C19" s="55"/>
      <c r="D19" s="55"/>
      <c r="E19" s="55"/>
      <c r="F19" s="55"/>
      <c r="G19" s="56"/>
      <c r="H19" s="28">
        <f ca="1">AVERAGE(H3:H17)</f>
        <v>60.333333333333336</v>
      </c>
      <c r="I19" s="29">
        <f>AVERAGE(I3:I17)</f>
        <v>3369333.3333333335</v>
      </c>
      <c r="J19" s="24">
        <f>AVERAGE(J3:J17)</f>
        <v>200000</v>
      </c>
      <c r="K19" s="27">
        <f>AVERAGE(K3:K17)</f>
        <v>2695466.6666666665</v>
      </c>
      <c r="L19" s="30">
        <f t="shared" si="4"/>
        <v>873866.66666666698</v>
      </c>
    </row>
    <row r="20" spans="2:12" ht="18.600000000000001" thickBot="1" x14ac:dyDescent="0.4">
      <c r="B20" s="54" t="s">
        <v>11</v>
      </c>
      <c r="C20" s="55"/>
      <c r="D20" s="55"/>
      <c r="E20" s="55"/>
      <c r="F20" s="55"/>
      <c r="G20" s="56"/>
      <c r="H20" s="26">
        <f ca="1">MAX(H3:H17)</f>
        <v>71</v>
      </c>
      <c r="I20" s="23">
        <f>MAX(I3:I17)</f>
        <v>4320000</v>
      </c>
      <c r="J20" s="24">
        <f>MAX(J3:J17)</f>
        <v>500000</v>
      </c>
      <c r="K20" s="24">
        <f>MAX(K3:K17)</f>
        <v>3456000</v>
      </c>
      <c r="L20" s="11">
        <f t="shared" ref="L20" si="5">MAX(L3:L17)</f>
        <v>1228000</v>
      </c>
    </row>
    <row r="21" spans="2:12" ht="18.600000000000001" thickBot="1" x14ac:dyDescent="0.4">
      <c r="B21" s="54" t="s">
        <v>12</v>
      </c>
      <c r="C21" s="55"/>
      <c r="D21" s="55"/>
      <c r="E21" s="55"/>
      <c r="F21" s="55"/>
      <c r="G21" s="56"/>
      <c r="H21" s="31">
        <f ca="1">MIN(H3:H17)</f>
        <v>47</v>
      </c>
      <c r="I21" s="32">
        <f>MIN(I3:I17)</f>
        <v>2100000</v>
      </c>
      <c r="J21" s="33">
        <f>MIN(J3:J17)</f>
        <v>100000</v>
      </c>
      <c r="K21" s="33">
        <f>MIN(K3:K17)</f>
        <v>1680000</v>
      </c>
      <c r="L21" s="34">
        <f t="shared" ref="L21" si="6">MIN(L3:L17)</f>
        <v>520000</v>
      </c>
    </row>
  </sheetData>
  <mergeCells count="4">
    <mergeCell ref="B18:G18"/>
    <mergeCell ref="B19:G19"/>
    <mergeCell ref="B20:G20"/>
    <mergeCell ref="B21:G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40E6-C59E-491F-A1C3-F6297B66C5FF}">
  <dimension ref="B1:K28"/>
  <sheetViews>
    <sheetView zoomScale="77" workbookViewId="0">
      <selection activeCell="A14" sqref="A14"/>
    </sheetView>
  </sheetViews>
  <sheetFormatPr defaultRowHeight="14.4" x14ac:dyDescent="0.3"/>
  <cols>
    <col min="2" max="2" width="5.33203125" customWidth="1"/>
    <col min="3" max="3" width="13.44140625" customWidth="1"/>
    <col min="4" max="4" width="26.88671875" customWidth="1"/>
    <col min="5" max="6" width="15" customWidth="1"/>
    <col min="7" max="7" width="15.6640625" customWidth="1"/>
    <col min="8" max="11" width="15" customWidth="1"/>
  </cols>
  <sheetData>
    <row r="1" spans="2:11" ht="15" thickBot="1" x14ac:dyDescent="0.35"/>
    <row r="2" spans="2:11" ht="35.4" thickBot="1" x14ac:dyDescent="0.35">
      <c r="B2" s="59" t="s">
        <v>1</v>
      </c>
      <c r="C2" s="60" t="s">
        <v>75</v>
      </c>
      <c r="D2" s="60" t="s">
        <v>76</v>
      </c>
      <c r="E2" s="60" t="s">
        <v>77</v>
      </c>
      <c r="F2" s="60" t="s">
        <v>78</v>
      </c>
      <c r="G2" s="60" t="s">
        <v>79</v>
      </c>
      <c r="H2" s="60" t="s">
        <v>80</v>
      </c>
      <c r="I2" s="60" t="s">
        <v>81</v>
      </c>
      <c r="J2" s="60" t="s">
        <v>82</v>
      </c>
      <c r="K2" s="60" t="s">
        <v>83</v>
      </c>
    </row>
    <row r="3" spans="2:11" ht="18.600000000000001" thickBot="1" x14ac:dyDescent="0.35">
      <c r="B3" s="61">
        <v>1</v>
      </c>
      <c r="C3" s="61" t="s">
        <v>84</v>
      </c>
      <c r="D3" s="61" t="s">
        <v>104</v>
      </c>
      <c r="E3" s="61">
        <f>VLOOKUP(LEFT(C3,2),C14:I18,5,0)</f>
        <v>300</v>
      </c>
      <c r="F3" s="61">
        <f>VLOOKUP(LEFT(C3,2),C14:I15,6)</f>
        <v>130</v>
      </c>
      <c r="G3" s="61">
        <f>E3*F3</f>
        <v>39000</v>
      </c>
      <c r="H3" s="61">
        <f>IF(MID(C3,4,1)="A",E3+15,IF(MID(F3,4,1)="B",E3+12,E3+10))</f>
        <v>315</v>
      </c>
      <c r="I3" s="61">
        <f>VLOOKUP(LEFT(C3,2),C14:I18,7,0)</f>
        <v>100</v>
      </c>
      <c r="J3" s="61">
        <f>H3*I3</f>
        <v>31500</v>
      </c>
      <c r="K3" s="61" t="str">
        <f>IF(F3-I3&gt;=60,"Bán chậm",IF(F3-I3&gt;=30,"Bán được","Bán chạy"))</f>
        <v>Bán được</v>
      </c>
    </row>
    <row r="4" spans="2:11" ht="18.600000000000001" thickBot="1" x14ac:dyDescent="0.35">
      <c r="B4" s="61">
        <v>2</v>
      </c>
      <c r="C4" s="61" t="s">
        <v>85</v>
      </c>
      <c r="D4" s="61" t="s">
        <v>104</v>
      </c>
      <c r="E4" s="61">
        <f t="shared" ref="E4:E7" si="0">VLOOKUP(LEFT(C4,2),C15:I19,5,0)</f>
        <v>300</v>
      </c>
      <c r="F4" s="61">
        <f t="shared" ref="F4:F7" si="1">VLOOKUP(LEFT(C4,2),C15:I16,6)</f>
        <v>130</v>
      </c>
      <c r="G4" s="61">
        <f t="shared" ref="G4:G10" si="2">E4*F4</f>
        <v>39000</v>
      </c>
      <c r="H4" s="61">
        <f t="shared" ref="H4:H10" si="3">IF(MID(C4,4,1)="A",E4+15,IF(MID(F4,4,1)="B",E4+12,E4+10))</f>
        <v>310</v>
      </c>
      <c r="I4" s="61">
        <f t="shared" ref="I4:I7" si="4">VLOOKUP(LEFT(C4,2),C15:I19,7,0)</f>
        <v>100</v>
      </c>
      <c r="J4" s="61">
        <f t="shared" ref="J4:J10" si="5">H4*I4</f>
        <v>31000</v>
      </c>
      <c r="K4" s="61" t="str">
        <f t="shared" ref="K4:K10" si="6">IF(F4-I4&gt;=60,"Bán chậm",IF(F4-I4&gt;=30,"Bán được","Bán chạy"))</f>
        <v>Bán được</v>
      </c>
    </row>
    <row r="5" spans="2:11" ht="18.600000000000001" thickBot="1" x14ac:dyDescent="0.35">
      <c r="B5" s="61">
        <v>3</v>
      </c>
      <c r="C5" s="61" t="s">
        <v>86</v>
      </c>
      <c r="D5" s="61" t="s">
        <v>105</v>
      </c>
      <c r="E5" s="61">
        <f t="shared" si="0"/>
        <v>210</v>
      </c>
      <c r="F5" s="61">
        <f>VLOOKUP(LEFT(C5,2),C17:I17,6)</f>
        <v>126</v>
      </c>
      <c r="G5" s="61">
        <f t="shared" si="2"/>
        <v>26460</v>
      </c>
      <c r="H5" s="61">
        <f t="shared" si="3"/>
        <v>220</v>
      </c>
      <c r="I5" s="61">
        <f t="shared" si="4"/>
        <v>85</v>
      </c>
      <c r="J5" s="61">
        <f t="shared" si="5"/>
        <v>18700</v>
      </c>
      <c r="K5" s="61" t="str">
        <f t="shared" si="6"/>
        <v>Bán được</v>
      </c>
    </row>
    <row r="6" spans="2:11" ht="18.600000000000001" thickBot="1" x14ac:dyDescent="0.35">
      <c r="B6" s="61">
        <v>4</v>
      </c>
      <c r="C6" s="61" t="s">
        <v>87</v>
      </c>
      <c r="D6" s="61" t="s">
        <v>106</v>
      </c>
      <c r="E6" s="61">
        <f>VLOOKUP(LEFT(C6,2),C16:I25,5,0)</f>
        <v>250</v>
      </c>
      <c r="F6" s="61">
        <f>VLOOKUP(LEFT(C6,2),C16:I16,6)</f>
        <v>90</v>
      </c>
      <c r="G6" s="61">
        <f t="shared" si="2"/>
        <v>22500</v>
      </c>
      <c r="H6" s="61">
        <f t="shared" si="3"/>
        <v>260</v>
      </c>
      <c r="I6" s="61">
        <f>VLOOKUP(LEFT(C6,2),C16:I16,7,0)</f>
        <v>60</v>
      </c>
      <c r="J6" s="61">
        <f t="shared" si="5"/>
        <v>15600</v>
      </c>
      <c r="K6" s="61" t="str">
        <f t="shared" si="6"/>
        <v>Bán được</v>
      </c>
    </row>
    <row r="7" spans="2:11" ht="18.600000000000001" thickBot="1" x14ac:dyDescent="0.35">
      <c r="B7" s="61">
        <v>5</v>
      </c>
      <c r="C7" s="61" t="s">
        <v>88</v>
      </c>
      <c r="D7" s="61" t="s">
        <v>107</v>
      </c>
      <c r="E7" s="61">
        <f t="shared" si="0"/>
        <v>220</v>
      </c>
      <c r="F7" s="61">
        <f t="shared" si="1"/>
        <v>70</v>
      </c>
      <c r="G7" s="61">
        <f t="shared" si="2"/>
        <v>15400</v>
      </c>
      <c r="H7" s="61">
        <f t="shared" si="3"/>
        <v>230</v>
      </c>
      <c r="I7" s="61">
        <f t="shared" si="4"/>
        <v>30</v>
      </c>
      <c r="J7" s="61">
        <f t="shared" si="5"/>
        <v>6900</v>
      </c>
      <c r="K7" s="61" t="str">
        <f t="shared" si="6"/>
        <v>Bán được</v>
      </c>
    </row>
    <row r="8" spans="2:11" ht="18.600000000000001" thickBot="1" x14ac:dyDescent="0.35">
      <c r="B8" s="61">
        <v>6</v>
      </c>
      <c r="C8" s="61" t="s">
        <v>89</v>
      </c>
      <c r="D8" s="61" t="s">
        <v>107</v>
      </c>
      <c r="E8" s="61">
        <f>VLOOKUP(LEFT(C8,2),C18:I27,5,0)</f>
        <v>220</v>
      </c>
      <c r="F8" s="61">
        <f>VLOOKUP(LEFT(C8,2),C18:I18,6)</f>
        <v>70</v>
      </c>
      <c r="G8" s="61">
        <f t="shared" si="2"/>
        <v>15400</v>
      </c>
      <c r="H8" s="61">
        <f t="shared" si="3"/>
        <v>235</v>
      </c>
      <c r="I8" s="61">
        <f>VLOOKUP(LEFT(C8,2),C18:I18,7,0)</f>
        <v>30</v>
      </c>
      <c r="J8" s="61">
        <f t="shared" si="5"/>
        <v>7050</v>
      </c>
      <c r="K8" s="61" t="str">
        <f t="shared" si="6"/>
        <v>Bán được</v>
      </c>
    </row>
    <row r="9" spans="2:11" ht="18.600000000000001" thickBot="1" x14ac:dyDescent="0.35">
      <c r="B9" s="61">
        <v>7</v>
      </c>
      <c r="C9" s="61" t="s">
        <v>90</v>
      </c>
      <c r="D9" s="61" t="s">
        <v>106</v>
      </c>
      <c r="E9" s="61">
        <f>VLOOKUP(LEFT(C9,2),C16:I28,5,0)</f>
        <v>250</v>
      </c>
      <c r="F9" s="61">
        <f>VLOOKUP(LEFT(C9,2),C16:I16,6)</f>
        <v>90</v>
      </c>
      <c r="G9" s="61">
        <f t="shared" si="2"/>
        <v>22500</v>
      </c>
      <c r="H9" s="61">
        <f t="shared" si="3"/>
        <v>260</v>
      </c>
      <c r="I9" s="61">
        <f>VLOOKUP(LEFT(C9,2),C16:I16,7,0)</f>
        <v>60</v>
      </c>
      <c r="J9" s="61">
        <f t="shared" si="5"/>
        <v>15600</v>
      </c>
      <c r="K9" s="61" t="str">
        <f t="shared" si="6"/>
        <v>Bán được</v>
      </c>
    </row>
    <row r="10" spans="2:11" ht="18.600000000000001" thickBot="1" x14ac:dyDescent="0.35">
      <c r="B10" s="61">
        <v>8</v>
      </c>
      <c r="C10" s="61" t="s">
        <v>86</v>
      </c>
      <c r="D10" s="61" t="s">
        <v>105</v>
      </c>
      <c r="E10" s="61">
        <f>VLOOKUP(LEFT(C10,2),C17:I29,5,0)</f>
        <v>210</v>
      </c>
      <c r="F10" s="61">
        <f>VLOOKUP(LEFT(C10,2),C17:I17,6)</f>
        <v>126</v>
      </c>
      <c r="G10" s="61">
        <f t="shared" si="2"/>
        <v>26460</v>
      </c>
      <c r="H10" s="61">
        <f t="shared" si="3"/>
        <v>220</v>
      </c>
      <c r="I10" s="61">
        <f>VLOOKUP(LEFT(C10,2),C17:I17,7,0)</f>
        <v>85</v>
      </c>
      <c r="J10" s="61">
        <f t="shared" si="5"/>
        <v>18700</v>
      </c>
      <c r="K10" s="61" t="str">
        <f t="shared" si="6"/>
        <v>Bán được</v>
      </c>
    </row>
    <row r="11" spans="2:11" ht="18.600000000000001" thickBot="1" x14ac:dyDescent="0.35">
      <c r="B11" s="62" t="s">
        <v>91</v>
      </c>
      <c r="C11" s="63"/>
      <c r="D11" s="64"/>
      <c r="E11" s="61">
        <f>SUM(E3:E10)</f>
        <v>1960</v>
      </c>
      <c r="F11" s="61">
        <f>SUM(F3:F10)</f>
        <v>832</v>
      </c>
      <c r="G11" s="61">
        <f>SUM(G3:G10)</f>
        <v>206720</v>
      </c>
      <c r="H11" s="61">
        <f>SUM(H3:H10)</f>
        <v>2050</v>
      </c>
      <c r="I11" s="61">
        <f>SUM(I3:I10)</f>
        <v>550</v>
      </c>
      <c r="J11" s="61">
        <f>SUM(J3:J10)</f>
        <v>145050</v>
      </c>
      <c r="K11" s="61"/>
    </row>
    <row r="12" spans="2:11" x14ac:dyDescent="0.3">
      <c r="C12" s="77" t="s">
        <v>99</v>
      </c>
      <c r="D12" s="78"/>
      <c r="E12" s="78"/>
      <c r="F12" s="78"/>
      <c r="G12" s="78"/>
      <c r="H12" s="78"/>
      <c r="I12" s="78"/>
    </row>
    <row r="13" spans="2:11" ht="15" thickBot="1" x14ac:dyDescent="0.35">
      <c r="C13" s="79"/>
      <c r="D13" s="79"/>
      <c r="E13" s="79"/>
      <c r="F13" s="79"/>
      <c r="G13" s="79"/>
      <c r="H13" s="79"/>
      <c r="I13" s="79"/>
    </row>
    <row r="14" spans="2:11" ht="18" thickBot="1" x14ac:dyDescent="0.35">
      <c r="C14" s="100" t="s">
        <v>75</v>
      </c>
      <c r="D14" s="101" t="s">
        <v>76</v>
      </c>
      <c r="E14" s="102"/>
      <c r="F14" s="103"/>
      <c r="G14" s="104" t="s">
        <v>77</v>
      </c>
      <c r="H14" s="104" t="s">
        <v>78</v>
      </c>
      <c r="I14" s="105" t="s">
        <v>81</v>
      </c>
    </row>
    <row r="15" spans="2:11" ht="18" x14ac:dyDescent="0.3">
      <c r="C15" s="90" t="s">
        <v>100</v>
      </c>
      <c r="D15" s="91" t="s">
        <v>104</v>
      </c>
      <c r="E15" s="92"/>
      <c r="F15" s="93"/>
      <c r="G15" s="94">
        <v>300</v>
      </c>
      <c r="H15" s="94">
        <v>130</v>
      </c>
      <c r="I15" s="95">
        <v>100</v>
      </c>
    </row>
    <row r="16" spans="2:11" ht="18" x14ac:dyDescent="0.3">
      <c r="C16" s="65" t="s">
        <v>101</v>
      </c>
      <c r="D16" s="66" t="s">
        <v>106</v>
      </c>
      <c r="E16" s="67"/>
      <c r="F16" s="68"/>
      <c r="G16" s="69">
        <v>250</v>
      </c>
      <c r="H16" s="69">
        <v>90</v>
      </c>
      <c r="I16" s="70">
        <v>60</v>
      </c>
    </row>
    <row r="17" spans="2:11" ht="18" x14ac:dyDescent="0.3">
      <c r="C17" s="65" t="s">
        <v>103</v>
      </c>
      <c r="D17" s="66" t="s">
        <v>105</v>
      </c>
      <c r="E17" s="67"/>
      <c r="F17" s="68"/>
      <c r="G17" s="69">
        <v>210</v>
      </c>
      <c r="H17" s="69">
        <v>126</v>
      </c>
      <c r="I17" s="70">
        <v>85</v>
      </c>
    </row>
    <row r="18" spans="2:11" ht="18.600000000000001" thickBot="1" x14ac:dyDescent="0.35">
      <c r="C18" s="71" t="s">
        <v>102</v>
      </c>
      <c r="D18" s="72" t="s">
        <v>107</v>
      </c>
      <c r="E18" s="73"/>
      <c r="F18" s="74"/>
      <c r="G18" s="75">
        <v>220</v>
      </c>
      <c r="H18" s="75">
        <v>70</v>
      </c>
      <c r="I18" s="76">
        <v>30</v>
      </c>
    </row>
    <row r="21" spans="2:11" ht="15" thickBot="1" x14ac:dyDescent="0.35"/>
    <row r="22" spans="2:11" x14ac:dyDescent="0.3">
      <c r="B22" s="82" t="s">
        <v>108</v>
      </c>
      <c r="C22" s="83"/>
      <c r="D22" s="83"/>
      <c r="E22" s="83"/>
      <c r="F22" s="83"/>
      <c r="G22" s="83"/>
      <c r="H22" s="83"/>
      <c r="I22" s="83"/>
      <c r="J22" s="83"/>
      <c r="K22" s="84"/>
    </row>
    <row r="23" spans="2:11" x14ac:dyDescent="0.3">
      <c r="B23" s="85"/>
      <c r="C23" s="86"/>
      <c r="D23" s="86"/>
      <c r="E23" s="86"/>
      <c r="F23" s="86"/>
      <c r="G23" s="86"/>
      <c r="H23" s="86"/>
      <c r="I23" s="86"/>
      <c r="J23" s="86"/>
      <c r="K23" s="87"/>
    </row>
    <row r="24" spans="2:11" x14ac:dyDescent="0.3">
      <c r="B24" s="85"/>
      <c r="C24" s="86"/>
      <c r="D24" s="86"/>
      <c r="E24" s="86"/>
      <c r="F24" s="86"/>
      <c r="G24" s="86"/>
      <c r="H24" s="86"/>
      <c r="I24" s="86"/>
      <c r="J24" s="86"/>
      <c r="K24" s="87"/>
    </row>
    <row r="25" spans="2:11" ht="17.399999999999999" x14ac:dyDescent="0.3">
      <c r="B25" s="106" t="s">
        <v>1</v>
      </c>
      <c r="C25" s="107" t="s">
        <v>75</v>
      </c>
      <c r="D25" s="107" t="s">
        <v>76</v>
      </c>
      <c r="E25" s="107" t="s">
        <v>77</v>
      </c>
      <c r="F25" s="107" t="s">
        <v>78</v>
      </c>
      <c r="G25" s="107" t="s">
        <v>79</v>
      </c>
      <c r="H25" s="107" t="s">
        <v>80</v>
      </c>
      <c r="I25" s="107" t="s">
        <v>81</v>
      </c>
      <c r="J25" s="88" t="s">
        <v>82</v>
      </c>
      <c r="K25" s="89" t="s">
        <v>83</v>
      </c>
    </row>
    <row r="26" spans="2:11" ht="18" x14ac:dyDescent="0.35">
      <c r="B26" s="8">
        <v>1</v>
      </c>
      <c r="C26" s="57" t="s">
        <v>84</v>
      </c>
      <c r="D26" s="57" t="s">
        <v>104</v>
      </c>
      <c r="E26" s="57">
        <v>300</v>
      </c>
      <c r="F26" s="57">
        <v>130</v>
      </c>
      <c r="G26" s="57">
        <v>39000</v>
      </c>
      <c r="H26" s="57">
        <v>315</v>
      </c>
      <c r="I26" s="57">
        <v>100</v>
      </c>
      <c r="J26" s="57">
        <v>31500</v>
      </c>
      <c r="K26" s="80" t="s">
        <v>109</v>
      </c>
    </row>
    <row r="27" spans="2:11" ht="18" x14ac:dyDescent="0.35">
      <c r="B27" s="8">
        <v>2</v>
      </c>
      <c r="C27" s="57" t="s">
        <v>85</v>
      </c>
      <c r="D27" s="57" t="s">
        <v>104</v>
      </c>
      <c r="E27" s="57">
        <v>300</v>
      </c>
      <c r="F27" s="57">
        <v>130</v>
      </c>
      <c r="G27" s="57">
        <v>39000</v>
      </c>
      <c r="H27" s="57">
        <v>310</v>
      </c>
      <c r="I27" s="57">
        <v>100</v>
      </c>
      <c r="J27" s="57">
        <v>31000</v>
      </c>
      <c r="K27" s="80" t="s">
        <v>109</v>
      </c>
    </row>
    <row r="28" spans="2:11" ht="18.600000000000001" thickBot="1" x14ac:dyDescent="0.4">
      <c r="B28" s="97" t="s">
        <v>91</v>
      </c>
      <c r="C28" s="98"/>
      <c r="D28" s="99"/>
      <c r="E28" s="58">
        <v>1960</v>
      </c>
      <c r="F28" s="58">
        <v>832</v>
      </c>
      <c r="G28" s="58">
        <v>206720</v>
      </c>
      <c r="H28" s="58">
        <v>2050</v>
      </c>
      <c r="I28" s="58">
        <v>550</v>
      </c>
      <c r="J28" s="58">
        <v>145050</v>
      </c>
      <c r="K28" s="81"/>
    </row>
  </sheetData>
  <mergeCells count="9">
    <mergeCell ref="B22:K24"/>
    <mergeCell ref="B28:D28"/>
    <mergeCell ref="D15:F15"/>
    <mergeCell ref="D16:F16"/>
    <mergeCell ref="D17:F17"/>
    <mergeCell ref="D18:F18"/>
    <mergeCell ref="B11:D11"/>
    <mergeCell ref="C12:I13"/>
    <mergeCell ref="D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Trang_tính1 </vt:lpstr>
      <vt:lpstr>Trang_tính2</vt:lpstr>
      <vt:lpstr>Trang_tính3</vt:lpstr>
      <vt:lpstr>Trang_tính4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Hang</dc:creator>
  <cp:lastModifiedBy>Anh Hang</cp:lastModifiedBy>
  <dcterms:created xsi:type="dcterms:W3CDTF">2025-12-20T05:32:04Z</dcterms:created>
  <dcterms:modified xsi:type="dcterms:W3CDTF">2025-12-23T05:12:01Z</dcterms:modified>
</cp:coreProperties>
</file>