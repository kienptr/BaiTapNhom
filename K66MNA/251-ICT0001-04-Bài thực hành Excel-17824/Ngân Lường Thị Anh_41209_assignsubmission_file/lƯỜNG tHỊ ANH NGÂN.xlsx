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388F107-BEF4-472E-A2CE-139DD5A0091B}" xr6:coauthVersionLast="47" xr6:coauthVersionMax="47" xr10:uidLastSave="{00000000-0000-0000-0000-000000000000}"/>
  <bookViews>
    <workbookView xWindow="-110" yWindow="-110" windowWidth="19420" windowHeight="10300" activeTab="3" xr2:uid="{CAE1C2B6-E752-4068-AD40-56DDCC11958D}"/>
  </bookViews>
  <sheets>
    <sheet name="B2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K19" i="3"/>
  <c r="K18" i="3"/>
  <c r="K17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H3" i="3"/>
  <c r="H4" i="3"/>
  <c r="H5" i="3"/>
  <c r="H6" i="3"/>
  <c r="H7" i="3"/>
  <c r="H8" i="3"/>
  <c r="H9" i="3"/>
  <c r="H10" i="3"/>
  <c r="H11" i="3"/>
  <c r="H12" i="3"/>
  <c r="H13" i="3"/>
  <c r="H16" i="3"/>
  <c r="H2" i="3"/>
  <c r="I4" i="2"/>
  <c r="I5" i="2"/>
  <c r="I6" i="2"/>
  <c r="I7" i="2"/>
  <c r="I8" i="2"/>
  <c r="I9" i="2"/>
  <c r="I10" i="2"/>
  <c r="I13" i="2"/>
  <c r="I14" i="2"/>
  <c r="I3" i="2"/>
  <c r="H4" i="2"/>
  <c r="H5" i="2"/>
  <c r="H6" i="2"/>
  <c r="H7" i="2"/>
  <c r="H8" i="2"/>
  <c r="H9" i="2"/>
  <c r="H10" i="2"/>
  <c r="H11" i="2"/>
  <c r="H12" i="2"/>
  <c r="H14" i="2"/>
  <c r="I12" i="2" s="1"/>
  <c r="H3" i="2"/>
  <c r="J4" i="1"/>
  <c r="J5" i="1"/>
  <c r="J6" i="1"/>
  <c r="J7" i="1"/>
  <c r="J8" i="1"/>
  <c r="J3" i="1"/>
  <c r="I4" i="1"/>
  <c r="I5" i="1"/>
  <c r="I6" i="1"/>
  <c r="I7" i="1"/>
  <c r="I8" i="1"/>
  <c r="I3" i="1"/>
  <c r="G4" i="1"/>
  <c r="G5" i="1"/>
  <c r="G6" i="1"/>
  <c r="G7" i="1"/>
  <c r="G8" i="1"/>
  <c r="G3" i="1"/>
  <c r="H13" i="2"/>
  <c r="I11" i="2" s="1"/>
</calcChain>
</file>

<file path=xl/sharedStrings.xml><?xml version="1.0" encoding="utf-8"?>
<sst xmlns="http://schemas.openxmlformats.org/spreadsheetml/2006/main" count="150" uniqueCount="117">
  <si>
    <t>STT</t>
  </si>
  <si>
    <t>HỌ</t>
  </si>
  <si>
    <t>TÊN</t>
  </si>
  <si>
    <t>PHÁI</t>
  </si>
  <si>
    <t>NGÀY CÔNG</t>
  </si>
  <si>
    <t>THƯỞNG 8-3</t>
  </si>
  <si>
    <t>THƯỞNG A</t>
  </si>
  <si>
    <t xml:space="preserve">Trần Thanh </t>
  </si>
  <si>
    <t>Phạm Hùng</t>
  </si>
  <si>
    <t xml:space="preserve">Lê Ngọc </t>
  </si>
  <si>
    <t>Phạm Thanh</t>
  </si>
  <si>
    <t>Phạm Hoài</t>
  </si>
  <si>
    <t xml:space="preserve">Lê Thanh </t>
  </si>
  <si>
    <t>Tuấn</t>
  </si>
  <si>
    <t>Cường</t>
  </si>
  <si>
    <t>Xuân</t>
  </si>
  <si>
    <t>Long</t>
  </si>
  <si>
    <t>Nam</t>
  </si>
  <si>
    <t>Lan</t>
  </si>
  <si>
    <t>NAM</t>
  </si>
  <si>
    <t>NỮ</t>
  </si>
  <si>
    <t>THƯỞNG B</t>
  </si>
  <si>
    <t xml:space="preserve">                                     DANH SÁCH THƯỞNG THÁNG 03 </t>
  </si>
  <si>
    <t xml:space="preserve">KẾT QUẢ THI CUỐI KHÓA </t>
  </si>
  <si>
    <t>TÊN HS</t>
  </si>
  <si>
    <t>LÂM</t>
  </si>
  <si>
    <t>HẢI</t>
  </si>
  <si>
    <t>HIỆP</t>
  </si>
  <si>
    <t>THẢO</t>
  </si>
  <si>
    <t>MINH</t>
  </si>
  <si>
    <t>HỒNG</t>
  </si>
  <si>
    <t xml:space="preserve">LINH </t>
  </si>
  <si>
    <t>DIỄM</t>
  </si>
  <si>
    <t>NGA</t>
  </si>
  <si>
    <t>KHOA</t>
  </si>
  <si>
    <t>SƠN</t>
  </si>
  <si>
    <t>NS</t>
  </si>
  <si>
    <t>TOÁN</t>
  </si>
  <si>
    <t>VĂN</t>
  </si>
  <si>
    <t>NGOẠI NGỮ</t>
  </si>
  <si>
    <t>ĐTB</t>
  </si>
  <si>
    <t>KQ</t>
  </si>
  <si>
    <t>XẾP HẠNG</t>
  </si>
  <si>
    <t>CAO NHẤT</t>
  </si>
  <si>
    <t xml:space="preserve">THẤP NHẤT </t>
  </si>
  <si>
    <t xml:space="preserve">TRUNG BÌNH </t>
  </si>
  <si>
    <t>KHEN THƯỞNG</t>
  </si>
  <si>
    <t xml:space="preserve">HỌ VÀ TÊN </t>
  </si>
  <si>
    <t>Nguyễn Văn Tâm</t>
  </si>
  <si>
    <t>Nguyễn Thị Hằng</t>
  </si>
  <si>
    <t>Ngô Thị Nga</t>
  </si>
  <si>
    <t xml:space="preserve">Trần Thiên Thu </t>
  </si>
  <si>
    <t>Lâm Hoàng Cát</t>
  </si>
  <si>
    <t>Lê Hoài Sơn</t>
  </si>
  <si>
    <t>Lý Lâm</t>
  </si>
  <si>
    <t>Trần Văn Trung</t>
  </si>
  <si>
    <t>Nguyễn Văn Trang</t>
  </si>
  <si>
    <t>Lý Thu Nga</t>
  </si>
  <si>
    <t>Nguyễn Văn Hùng</t>
  </si>
  <si>
    <t>Trần Thị Phượng</t>
  </si>
  <si>
    <t>Võ Tuấn Thành</t>
  </si>
  <si>
    <t>Lê Văn Minh</t>
  </si>
  <si>
    <t xml:space="preserve">Doãn Hòa </t>
  </si>
  <si>
    <t>CHỨC VỤ</t>
  </si>
  <si>
    <t>TP</t>
  </si>
  <si>
    <t>NV</t>
  </si>
  <si>
    <t>PP</t>
  </si>
  <si>
    <t>KT</t>
  </si>
  <si>
    <t>BV</t>
  </si>
  <si>
    <t>GĐ</t>
  </si>
  <si>
    <t>PGĐ</t>
  </si>
  <si>
    <t>NĂM SINH</t>
  </si>
  <si>
    <t>21/2/1967</t>
  </si>
  <si>
    <t>22/9/1975</t>
  </si>
  <si>
    <t>14/5/1968</t>
  </si>
  <si>
    <t>15/2/1958</t>
  </si>
  <si>
    <t>26/8/1978</t>
  </si>
  <si>
    <t>15/8/1969</t>
  </si>
  <si>
    <t>17/8/1969</t>
  </si>
  <si>
    <t>15/5/1954</t>
  </si>
  <si>
    <t>16/9/1967</t>
  </si>
  <si>
    <t>19/9/1969</t>
  </si>
  <si>
    <t>16/9/1954</t>
  </si>
  <si>
    <t>24/8/1968</t>
  </si>
  <si>
    <t>LCB</t>
  </si>
  <si>
    <t>NGÀY</t>
  </si>
  <si>
    <t>LƯƠNG</t>
  </si>
  <si>
    <t>TẠM ỨNG</t>
  </si>
  <si>
    <t>TỔNG CỘNG</t>
  </si>
  <si>
    <t>BÌNH QUÂN</t>
  </si>
  <si>
    <t>THẤP NHẤT</t>
  </si>
  <si>
    <t>TUỔI</t>
  </si>
  <si>
    <t>THƯỞNG</t>
  </si>
  <si>
    <t>CÒN LẠI</t>
  </si>
  <si>
    <t>MÃ HÀNG</t>
  </si>
  <si>
    <t>Pa0A12</t>
  </si>
  <si>
    <t>Pa0C15</t>
  </si>
  <si>
    <t>Sa0B2</t>
  </si>
  <si>
    <t>To0C23</t>
  </si>
  <si>
    <t>Hi0C12</t>
  </si>
  <si>
    <t>Hi0C13</t>
  </si>
  <si>
    <t>To0B12</t>
  </si>
  <si>
    <t>TÊN HÀNG</t>
  </si>
  <si>
    <t>GIÁ NHẬP</t>
  </si>
  <si>
    <t>SL NHẬP</t>
  </si>
  <si>
    <t>TIỀN NHẬP</t>
  </si>
  <si>
    <t>SL XUẤT</t>
  </si>
  <si>
    <t>TIỀN XUẤT</t>
  </si>
  <si>
    <t>GHI CHÚ</t>
  </si>
  <si>
    <t xml:space="preserve">CỘNG </t>
  </si>
  <si>
    <t>Bảng tra dữ liệu các loại máy lạnh:</t>
  </si>
  <si>
    <t>Pa</t>
  </si>
  <si>
    <t>To</t>
  </si>
  <si>
    <t xml:space="preserve">Sa </t>
  </si>
  <si>
    <t>Hi</t>
  </si>
  <si>
    <t xml:space="preserve">TÊN HÀNG </t>
  </si>
  <si>
    <t xml:space="preserve">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</si>
</sst>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1DF5-A7B0-4CE2-9350-9F26F8E7FF73}">
  <dimension ref="A1:K8"/>
  <sheetViews>
    <sheetView workbookViewId="0">
      <selection activeCell="B1" sqref="B1:J1"/>
    </sheetView>
  </sheetViews>
  <sheetFormatPr defaultRowHeight="14.5" x14ac:dyDescent="0.35"/>
  <cols>
    <col min="1" max="1" width="4" style="4" customWidth="1"/>
    <col min="2" max="2" width="11.36328125" customWidth="1"/>
    <col min="3" max="3" width="6.08984375" bestFit="1" customWidth="1"/>
    <col min="4" max="4" width="8.08984375" customWidth="1"/>
    <col min="5" max="5" width="11.81640625" customWidth="1"/>
    <col min="7" max="7" width="11.453125" customWidth="1"/>
    <col min="8" max="8" width="8.7265625" customWidth="1"/>
    <col min="9" max="9" width="10.1796875" customWidth="1"/>
    <col min="10" max="10" width="9.36328125" customWidth="1"/>
  </cols>
  <sheetData>
    <row r="1" spans="1:11" ht="23.5" customHeight="1" x14ac:dyDescent="0.55000000000000004">
      <c r="A1" s="7" t="s">
        <v>116</v>
      </c>
      <c r="B1" s="10" t="s">
        <v>22</v>
      </c>
      <c r="C1" s="11"/>
      <c r="D1" s="11"/>
      <c r="E1" s="11"/>
      <c r="F1" s="11"/>
      <c r="G1" s="11"/>
      <c r="H1" s="11"/>
      <c r="I1" s="11"/>
      <c r="J1" s="11"/>
      <c r="K1" s="1"/>
    </row>
    <row r="2" spans="1:11" x14ac:dyDescent="0.35">
      <c r="A2" s="7" t="s">
        <v>0</v>
      </c>
      <c r="B2" s="7" t="s">
        <v>1</v>
      </c>
      <c r="C2" s="7" t="s">
        <v>2</v>
      </c>
      <c r="D2" s="9" t="s">
        <v>3</v>
      </c>
      <c r="E2" s="9" t="s">
        <v>4</v>
      </c>
      <c r="F2" s="9"/>
      <c r="G2" s="9" t="s">
        <v>5</v>
      </c>
      <c r="H2" s="9"/>
      <c r="I2" s="9" t="s">
        <v>6</v>
      </c>
      <c r="J2" s="9" t="s">
        <v>21</v>
      </c>
      <c r="K2" s="3"/>
    </row>
    <row r="3" spans="1:11" x14ac:dyDescent="0.35">
      <c r="A3" s="7">
        <v>1</v>
      </c>
      <c r="B3" s="2" t="s">
        <v>7</v>
      </c>
      <c r="C3" s="2" t="s">
        <v>13</v>
      </c>
      <c r="D3" s="2" t="s">
        <v>19</v>
      </c>
      <c r="E3" s="2">
        <v>25</v>
      </c>
      <c r="F3" s="2"/>
      <c r="G3" s="2">
        <f>IF(D2="NỮ",200000,0)</f>
        <v>0</v>
      </c>
      <c r="H3" s="2"/>
      <c r="I3" s="2">
        <f>IF(E2&gt;=24,300000,0)</f>
        <v>300000</v>
      </c>
      <c r="J3" s="2">
        <f>IF(OR(AND(D2="NAM",E2&gt;26),AND(D2="NỮ",E2&gt;25)),100000,0)</f>
        <v>0</v>
      </c>
      <c r="K3" s="2"/>
    </row>
    <row r="4" spans="1:11" x14ac:dyDescent="0.35">
      <c r="A4" s="7">
        <v>2</v>
      </c>
      <c r="B4" s="2" t="s">
        <v>8</v>
      </c>
      <c r="C4" s="2" t="s">
        <v>14</v>
      </c>
      <c r="D4" s="2" t="s">
        <v>19</v>
      </c>
      <c r="E4" s="2">
        <v>24</v>
      </c>
      <c r="F4" s="2"/>
      <c r="G4" s="2">
        <f t="shared" ref="G4:G8" si="0">IF(D3="NỮ",200000,0)</f>
        <v>0</v>
      </c>
      <c r="H4" s="2"/>
      <c r="I4" s="2">
        <f t="shared" ref="H4:I8" si="1">IF(E3&gt;=24,300000,0)</f>
        <v>300000</v>
      </c>
      <c r="J4" s="2">
        <f t="shared" ref="J4:J8" si="2">IF(OR(AND(D3="NAM",E3&gt;26),AND(D3="NỮ",E3&gt;25)),100000,0)</f>
        <v>0</v>
      </c>
      <c r="K4" s="2"/>
    </row>
    <row r="5" spans="1:11" x14ac:dyDescent="0.35">
      <c r="A5" s="7">
        <v>3</v>
      </c>
      <c r="B5" s="2" t="s">
        <v>9</v>
      </c>
      <c r="C5" s="2" t="s">
        <v>15</v>
      </c>
      <c r="D5" s="2" t="s">
        <v>20</v>
      </c>
      <c r="E5" s="2">
        <v>26</v>
      </c>
      <c r="F5" s="2"/>
      <c r="G5" s="2">
        <f t="shared" si="0"/>
        <v>0</v>
      </c>
      <c r="H5" s="2"/>
      <c r="I5" s="2">
        <f t="shared" si="1"/>
        <v>300000</v>
      </c>
      <c r="J5" s="2">
        <f t="shared" si="2"/>
        <v>0</v>
      </c>
      <c r="K5" s="2"/>
    </row>
    <row r="6" spans="1:11" x14ac:dyDescent="0.35">
      <c r="A6" s="7">
        <v>4</v>
      </c>
      <c r="B6" s="2" t="s">
        <v>10</v>
      </c>
      <c r="C6" s="2" t="s">
        <v>16</v>
      </c>
      <c r="D6" s="2" t="s">
        <v>20</v>
      </c>
      <c r="E6" s="2">
        <v>22</v>
      </c>
      <c r="F6" s="2"/>
      <c r="G6" s="2">
        <f t="shared" si="0"/>
        <v>200000</v>
      </c>
      <c r="H6" s="2"/>
      <c r="I6" s="2">
        <f t="shared" si="1"/>
        <v>300000</v>
      </c>
      <c r="J6" s="2">
        <f t="shared" si="2"/>
        <v>100000</v>
      </c>
      <c r="K6" s="2"/>
    </row>
    <row r="7" spans="1:11" x14ac:dyDescent="0.35">
      <c r="A7" s="7">
        <v>5</v>
      </c>
      <c r="B7" s="2" t="s">
        <v>11</v>
      </c>
      <c r="C7" s="2" t="s">
        <v>17</v>
      </c>
      <c r="D7" s="2" t="s">
        <v>19</v>
      </c>
      <c r="E7" s="2">
        <v>2</v>
      </c>
      <c r="F7" s="2"/>
      <c r="G7" s="2">
        <f t="shared" si="0"/>
        <v>200000</v>
      </c>
      <c r="H7" s="2"/>
      <c r="I7" s="2">
        <f t="shared" si="1"/>
        <v>0</v>
      </c>
      <c r="J7" s="2">
        <f t="shared" si="2"/>
        <v>0</v>
      </c>
      <c r="K7" s="2"/>
    </row>
    <row r="8" spans="1:11" x14ac:dyDescent="0.35">
      <c r="A8" s="7">
        <v>6</v>
      </c>
      <c r="B8" s="2" t="s">
        <v>12</v>
      </c>
      <c r="C8" s="2" t="s">
        <v>18</v>
      </c>
      <c r="D8" s="2" t="s">
        <v>20</v>
      </c>
      <c r="E8" s="2">
        <v>25</v>
      </c>
      <c r="F8" s="2"/>
      <c r="G8" s="2">
        <f t="shared" si="0"/>
        <v>0</v>
      </c>
      <c r="H8" s="2"/>
      <c r="I8" s="2">
        <f t="shared" si="1"/>
        <v>0</v>
      </c>
      <c r="J8" s="2">
        <f t="shared" si="2"/>
        <v>0</v>
      </c>
      <c r="K8" s="2"/>
    </row>
  </sheetData>
  <mergeCells count="1">
    <mergeCell ref="B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15EF-1701-4BEB-87CA-6C4E1898CA4D}">
  <dimension ref="A1:K17"/>
  <sheetViews>
    <sheetView topLeftCell="A3" workbookViewId="0">
      <selection activeCell="A2" sqref="A2:K17"/>
    </sheetView>
  </sheetViews>
  <sheetFormatPr defaultRowHeight="14.5" x14ac:dyDescent="0.35"/>
  <cols>
    <col min="1" max="1" width="5.36328125" customWidth="1"/>
    <col min="4" max="4" width="6.6328125" customWidth="1"/>
    <col min="7" max="7" width="10.453125" customWidth="1"/>
    <col min="11" max="11" width="15.36328125" customWidth="1"/>
  </cols>
  <sheetData>
    <row r="1" spans="1:11" ht="26" x14ac:dyDescent="0.6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6" x14ac:dyDescent="0.4">
      <c r="A2" s="12" t="s">
        <v>0</v>
      </c>
      <c r="B2" s="13" t="s">
        <v>24</v>
      </c>
      <c r="C2" s="13" t="s">
        <v>3</v>
      </c>
      <c r="D2" s="13" t="s">
        <v>36</v>
      </c>
      <c r="E2" s="13" t="s">
        <v>37</v>
      </c>
      <c r="F2" s="13" t="s">
        <v>38</v>
      </c>
      <c r="G2" s="13" t="s">
        <v>39</v>
      </c>
      <c r="H2" s="13" t="s">
        <v>40</v>
      </c>
      <c r="I2" s="13" t="s">
        <v>41</v>
      </c>
      <c r="J2" s="13" t="s">
        <v>42</v>
      </c>
      <c r="K2" s="13" t="s">
        <v>46</v>
      </c>
    </row>
    <row r="3" spans="1:11" x14ac:dyDescent="0.35">
      <c r="A3" s="7">
        <v>1</v>
      </c>
      <c r="B3" s="2" t="s">
        <v>25</v>
      </c>
      <c r="C3" s="7" t="s">
        <v>19</v>
      </c>
      <c r="D3" s="7">
        <v>1998</v>
      </c>
      <c r="E3" s="2">
        <v>10</v>
      </c>
      <c r="F3" s="2">
        <v>8</v>
      </c>
      <c r="G3" s="2">
        <v>9</v>
      </c>
      <c r="H3" s="2">
        <f>ROUND((E5*2+F5*2+G5)/5,2)</f>
        <v>8.1999999999999993</v>
      </c>
      <c r="I3" s="7" t="str">
        <f>IF(H5&gt;=5,"ĐẠT","RỚT")</f>
        <v>ĐẠT</v>
      </c>
      <c r="J3" s="2">
        <v>2</v>
      </c>
      <c r="K3" s="2">
        <v>100</v>
      </c>
    </row>
    <row r="4" spans="1:11" x14ac:dyDescent="0.35">
      <c r="A4" s="7">
        <v>2</v>
      </c>
      <c r="B4" s="2" t="s">
        <v>26</v>
      </c>
      <c r="C4" s="7" t="s">
        <v>19</v>
      </c>
      <c r="D4" s="7">
        <v>1987</v>
      </c>
      <c r="E4" s="2">
        <v>8</v>
      </c>
      <c r="F4" s="2">
        <v>8.5</v>
      </c>
      <c r="G4" s="2">
        <v>9</v>
      </c>
      <c r="H4" s="2">
        <f t="shared" ref="H4:H14" si="0">ROUND((E6*2+F6*2+G6)/5,2)</f>
        <v>7</v>
      </c>
      <c r="I4" s="7" t="str">
        <f t="shared" ref="I4:I14" si="1">IF(H6&gt;=5,"ĐẠT","RỚT")</f>
        <v>ĐẠT</v>
      </c>
      <c r="J4" s="2"/>
      <c r="K4" s="2"/>
    </row>
    <row r="5" spans="1:11" x14ac:dyDescent="0.35">
      <c r="A5" s="7">
        <v>3</v>
      </c>
      <c r="B5" s="2" t="s">
        <v>27</v>
      </c>
      <c r="C5" s="7" t="s">
        <v>19</v>
      </c>
      <c r="D5" s="7">
        <v>1986</v>
      </c>
      <c r="E5" s="2">
        <v>9</v>
      </c>
      <c r="F5" s="2">
        <v>8</v>
      </c>
      <c r="G5" s="2">
        <v>7</v>
      </c>
      <c r="H5" s="2">
        <f t="shared" si="0"/>
        <v>6.8</v>
      </c>
      <c r="I5" s="7" t="str">
        <f t="shared" si="1"/>
        <v>ĐẠT</v>
      </c>
      <c r="J5" s="2"/>
      <c r="K5" s="2"/>
    </row>
    <row r="6" spans="1:11" x14ac:dyDescent="0.35">
      <c r="A6" s="7">
        <v>4</v>
      </c>
      <c r="B6" s="2" t="s">
        <v>28</v>
      </c>
      <c r="C6" s="7" t="s">
        <v>20</v>
      </c>
      <c r="D6" s="7">
        <v>1988</v>
      </c>
      <c r="E6" s="2">
        <v>10</v>
      </c>
      <c r="F6" s="2">
        <v>4</v>
      </c>
      <c r="G6" s="2">
        <v>7</v>
      </c>
      <c r="H6" s="2">
        <f t="shared" si="0"/>
        <v>6.4</v>
      </c>
      <c r="I6" s="7" t="str">
        <f t="shared" si="1"/>
        <v>ĐẠT</v>
      </c>
      <c r="J6" s="2"/>
      <c r="K6" s="2"/>
    </row>
    <row r="7" spans="1:11" x14ac:dyDescent="0.35">
      <c r="A7" s="7">
        <v>5</v>
      </c>
      <c r="B7" s="2" t="s">
        <v>29</v>
      </c>
      <c r="C7" s="7" t="s">
        <v>19</v>
      </c>
      <c r="D7" s="7">
        <v>1988</v>
      </c>
      <c r="E7" s="2">
        <v>9</v>
      </c>
      <c r="F7" s="2">
        <v>5</v>
      </c>
      <c r="G7" s="2">
        <v>6</v>
      </c>
      <c r="H7" s="2">
        <f t="shared" si="0"/>
        <v>6.2</v>
      </c>
      <c r="I7" s="7" t="str">
        <f t="shared" si="1"/>
        <v>RỚT</v>
      </c>
      <c r="J7" s="2"/>
      <c r="K7" s="2"/>
    </row>
    <row r="8" spans="1:11" x14ac:dyDescent="0.35">
      <c r="A8" s="7">
        <v>6</v>
      </c>
      <c r="B8" s="2" t="s">
        <v>30</v>
      </c>
      <c r="C8" s="7" t="s">
        <v>20</v>
      </c>
      <c r="D8" s="7">
        <v>1987</v>
      </c>
      <c r="E8" s="2">
        <v>6</v>
      </c>
      <c r="F8" s="2">
        <v>6</v>
      </c>
      <c r="G8" s="2">
        <v>8</v>
      </c>
      <c r="H8" s="2">
        <f t="shared" si="0"/>
        <v>6.2</v>
      </c>
      <c r="I8" s="7" t="str">
        <f t="shared" si="1"/>
        <v>ĐẠT</v>
      </c>
      <c r="J8" s="2"/>
      <c r="K8" s="2"/>
    </row>
    <row r="9" spans="1:11" x14ac:dyDescent="0.35">
      <c r="A9" s="7">
        <v>7</v>
      </c>
      <c r="B9" s="2" t="s">
        <v>31</v>
      </c>
      <c r="C9" s="7" t="s">
        <v>19</v>
      </c>
      <c r="D9" s="7">
        <v>1986</v>
      </c>
      <c r="E9" s="2">
        <v>7.5</v>
      </c>
      <c r="F9" s="2">
        <v>5</v>
      </c>
      <c r="G9" s="2">
        <v>6</v>
      </c>
      <c r="H9" s="2">
        <f t="shared" si="0"/>
        <v>4.7</v>
      </c>
      <c r="I9" s="7" t="str">
        <f t="shared" si="1"/>
        <v>RỚT</v>
      </c>
      <c r="J9" s="2"/>
      <c r="K9" s="2"/>
    </row>
    <row r="10" spans="1:11" x14ac:dyDescent="0.35">
      <c r="A10" s="7">
        <v>8</v>
      </c>
      <c r="B10" s="2" t="s">
        <v>19</v>
      </c>
      <c r="C10" s="7" t="s">
        <v>19</v>
      </c>
      <c r="D10" s="7">
        <v>1988</v>
      </c>
      <c r="E10" s="2">
        <v>3</v>
      </c>
      <c r="F10" s="2">
        <v>9</v>
      </c>
      <c r="G10" s="2">
        <v>7</v>
      </c>
      <c r="H10" s="2">
        <f t="shared" si="0"/>
        <v>5</v>
      </c>
      <c r="I10" s="7" t="str">
        <f t="shared" si="1"/>
        <v>RỚT</v>
      </c>
      <c r="J10" s="2"/>
      <c r="K10" s="2"/>
    </row>
    <row r="11" spans="1:11" x14ac:dyDescent="0.35">
      <c r="A11" s="7">
        <v>9</v>
      </c>
      <c r="B11" s="2" t="s">
        <v>32</v>
      </c>
      <c r="C11" s="7" t="s">
        <v>20</v>
      </c>
      <c r="D11" s="7">
        <v>1988</v>
      </c>
      <c r="E11" s="2">
        <v>4</v>
      </c>
      <c r="F11" s="2">
        <v>5</v>
      </c>
      <c r="G11" s="2">
        <v>5.5</v>
      </c>
      <c r="H11" s="2">
        <f t="shared" si="0"/>
        <v>4.2</v>
      </c>
      <c r="I11" s="7" t="str">
        <f t="shared" si="1"/>
        <v>ĐẠT</v>
      </c>
      <c r="J11" s="2"/>
      <c r="K11" s="2"/>
    </row>
    <row r="12" spans="1:11" x14ac:dyDescent="0.35">
      <c r="A12" s="7">
        <v>10</v>
      </c>
      <c r="B12" s="2" t="s">
        <v>33</v>
      </c>
      <c r="C12" s="7" t="s">
        <v>20</v>
      </c>
      <c r="D12" s="7">
        <v>1988</v>
      </c>
      <c r="E12" s="2">
        <v>4.5</v>
      </c>
      <c r="F12" s="2">
        <v>6</v>
      </c>
      <c r="G12" s="2">
        <v>4</v>
      </c>
      <c r="H12" s="2">
        <f t="shared" si="0"/>
        <v>3.8</v>
      </c>
      <c r="I12" s="7" t="str">
        <f t="shared" si="1"/>
        <v>ĐẠT</v>
      </c>
      <c r="J12" s="2"/>
      <c r="K12" s="2"/>
    </row>
    <row r="13" spans="1:11" x14ac:dyDescent="0.35">
      <c r="A13" s="7">
        <v>11</v>
      </c>
      <c r="B13" s="2" t="s">
        <v>34</v>
      </c>
      <c r="C13" s="7" t="s">
        <v>19</v>
      </c>
      <c r="D13" s="7">
        <v>1987</v>
      </c>
      <c r="E13" s="2">
        <v>3</v>
      </c>
      <c r="F13" s="2">
        <v>5</v>
      </c>
      <c r="G13" s="2">
        <v>5</v>
      </c>
      <c r="H13" s="2">
        <f t="shared" si="0"/>
        <v>6.21</v>
      </c>
      <c r="I13" s="7" t="str">
        <f t="shared" si="1"/>
        <v>ĐẠT</v>
      </c>
      <c r="J13" s="2"/>
      <c r="K13" s="2"/>
    </row>
    <row r="14" spans="1:11" x14ac:dyDescent="0.35">
      <c r="A14" s="7">
        <v>12</v>
      </c>
      <c r="B14" s="2" t="s">
        <v>35</v>
      </c>
      <c r="C14" s="7" t="s">
        <v>19</v>
      </c>
      <c r="D14" s="7">
        <v>1986</v>
      </c>
      <c r="E14" s="2">
        <v>4</v>
      </c>
      <c r="F14" s="2">
        <v>3</v>
      </c>
      <c r="G14" s="2">
        <v>5</v>
      </c>
      <c r="H14" s="2">
        <f t="shared" si="0"/>
        <v>9.4</v>
      </c>
      <c r="I14" s="7" t="str">
        <f t="shared" si="1"/>
        <v>ĐẠT</v>
      </c>
      <c r="J14" s="2">
        <v>1</v>
      </c>
      <c r="K14" s="2">
        <v>200</v>
      </c>
    </row>
    <row r="15" spans="1:11" x14ac:dyDescent="0.35">
      <c r="A15" s="8" t="s">
        <v>45</v>
      </c>
      <c r="B15" s="8"/>
      <c r="C15" s="8"/>
      <c r="D15" s="8"/>
      <c r="E15" s="2">
        <v>6.42</v>
      </c>
      <c r="F15" s="2">
        <v>5.96</v>
      </c>
      <c r="G15" s="2">
        <v>6.29</v>
      </c>
      <c r="H15" s="2">
        <v>6.16</v>
      </c>
      <c r="I15" s="2"/>
      <c r="J15" s="2"/>
      <c r="K15" s="2"/>
    </row>
    <row r="16" spans="1:11" x14ac:dyDescent="0.35">
      <c r="A16" s="8" t="s">
        <v>43</v>
      </c>
      <c r="B16" s="8"/>
      <c r="C16" s="8"/>
      <c r="D16" s="8"/>
      <c r="E16" s="2">
        <v>10</v>
      </c>
      <c r="F16" s="2">
        <v>9</v>
      </c>
      <c r="G16" s="2">
        <v>9</v>
      </c>
      <c r="H16" s="2">
        <v>9</v>
      </c>
      <c r="I16" s="2"/>
      <c r="J16" s="2"/>
      <c r="K16" s="2"/>
    </row>
    <row r="17" spans="1:11" x14ac:dyDescent="0.35">
      <c r="A17" s="8" t="s">
        <v>44</v>
      </c>
      <c r="B17" s="8"/>
      <c r="C17" s="8"/>
      <c r="D17" s="8"/>
      <c r="E17" s="2">
        <v>3</v>
      </c>
      <c r="F17" s="2">
        <v>3</v>
      </c>
      <c r="G17" s="2">
        <v>4</v>
      </c>
      <c r="H17" s="2">
        <v>3.8</v>
      </c>
      <c r="I17" s="2"/>
      <c r="J17" s="2"/>
      <c r="K17" s="2"/>
    </row>
  </sheetData>
  <mergeCells count="4">
    <mergeCell ref="A1:K1"/>
    <mergeCell ref="A15:D15"/>
    <mergeCell ref="A16:D16"/>
    <mergeCell ref="A17:D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94DE-BE51-4448-9DBF-B3E5CE8F940C}">
  <dimension ref="A1:L20"/>
  <sheetViews>
    <sheetView workbookViewId="0">
      <selection sqref="A1:K20"/>
    </sheetView>
  </sheetViews>
  <sheetFormatPr defaultRowHeight="14.5" x14ac:dyDescent="0.35"/>
  <cols>
    <col min="1" max="1" width="5.90625" customWidth="1"/>
    <col min="2" max="2" width="17.54296875" customWidth="1"/>
    <col min="3" max="3" width="10.26953125" customWidth="1"/>
    <col min="4" max="4" width="10.54296875" customWidth="1"/>
    <col min="6" max="6" width="6.81640625" customWidth="1"/>
    <col min="8" max="8" width="8.90625" customWidth="1"/>
    <col min="11" max="11" width="13.90625" customWidth="1"/>
  </cols>
  <sheetData>
    <row r="1" spans="1:11" x14ac:dyDescent="0.35">
      <c r="A1" s="7" t="s">
        <v>0</v>
      </c>
      <c r="B1" s="7" t="s">
        <v>47</v>
      </c>
      <c r="C1" s="2" t="s">
        <v>63</v>
      </c>
      <c r="D1" s="7" t="s">
        <v>71</v>
      </c>
      <c r="E1" s="7" t="s">
        <v>84</v>
      </c>
      <c r="F1" s="7" t="s">
        <v>85</v>
      </c>
      <c r="G1" s="2" t="s">
        <v>91</v>
      </c>
      <c r="H1" s="2" t="s">
        <v>86</v>
      </c>
      <c r="I1" s="7" t="s">
        <v>92</v>
      </c>
      <c r="J1" s="7" t="s">
        <v>87</v>
      </c>
      <c r="K1" s="7" t="s">
        <v>93</v>
      </c>
    </row>
    <row r="2" spans="1:11" x14ac:dyDescent="0.35">
      <c r="A2" s="14">
        <v>1</v>
      </c>
      <c r="B2" s="7" t="s">
        <v>48</v>
      </c>
      <c r="C2" s="7" t="s">
        <v>64</v>
      </c>
      <c r="D2" s="15" t="s">
        <v>72</v>
      </c>
      <c r="E2" s="2">
        <v>120000</v>
      </c>
      <c r="F2" s="2">
        <v>25</v>
      </c>
      <c r="G2" s="2">
        <v>58</v>
      </c>
      <c r="H2" s="2">
        <f>E5*F5</f>
        <v>2600000</v>
      </c>
      <c r="I2" s="2">
        <f>IF(C5="GĐ",500000,IF(C5="PĐG",400000,IF(C5="TP",300000,IF(C5="PP",200000,100000))))</f>
        <v>100000</v>
      </c>
      <c r="J2" s="2">
        <f>H5*80%</f>
        <v>3024000</v>
      </c>
      <c r="K2" s="2">
        <f>H5+I5-J5</f>
        <v>1588000</v>
      </c>
    </row>
    <row r="3" spans="1:11" x14ac:dyDescent="0.35">
      <c r="A3" s="14">
        <v>2</v>
      </c>
      <c r="B3" s="7" t="s">
        <v>49</v>
      </c>
      <c r="C3" s="7" t="s">
        <v>65</v>
      </c>
      <c r="D3" s="15" t="s">
        <v>73</v>
      </c>
      <c r="E3" s="2">
        <v>160000</v>
      </c>
      <c r="F3" s="2">
        <v>24</v>
      </c>
      <c r="G3" s="2">
        <v>50</v>
      </c>
      <c r="H3" s="2">
        <f t="shared" ref="H3:H16" si="0">E6*F6</f>
        <v>4140000</v>
      </c>
      <c r="I3" s="2">
        <f t="shared" ref="I3:I16" si="1">IF(C6="GĐ",500000,IF(C6="PĐG",400000,IF(C6="TP",300000,IF(C6="PP",200000,100000))))</f>
        <v>100000</v>
      </c>
      <c r="J3" s="2">
        <f t="shared" ref="J3:J16" si="2">H6*80%</f>
        <v>1792000</v>
      </c>
      <c r="K3" s="2">
        <f t="shared" ref="K3:K16" si="3">H6+I6-J6</f>
        <v>-428000</v>
      </c>
    </row>
    <row r="4" spans="1:11" x14ac:dyDescent="0.35">
      <c r="A4" s="14">
        <v>3</v>
      </c>
      <c r="B4" s="7" t="s">
        <v>50</v>
      </c>
      <c r="C4" s="7" t="s">
        <v>66</v>
      </c>
      <c r="D4" s="15" t="s">
        <v>74</v>
      </c>
      <c r="E4" s="2">
        <v>150000</v>
      </c>
      <c r="F4" s="2">
        <v>26</v>
      </c>
      <c r="G4" s="2">
        <v>57</v>
      </c>
      <c r="H4" s="2">
        <f t="shared" si="0"/>
        <v>3600000</v>
      </c>
      <c r="I4" s="2">
        <f t="shared" si="1"/>
        <v>100000</v>
      </c>
      <c r="J4" s="2">
        <f t="shared" si="2"/>
        <v>2040000</v>
      </c>
      <c r="K4" s="2">
        <f t="shared" si="3"/>
        <v>970000</v>
      </c>
    </row>
    <row r="5" spans="1:11" x14ac:dyDescent="0.35">
      <c r="A5" s="14">
        <v>4</v>
      </c>
      <c r="B5" s="7" t="s">
        <v>51</v>
      </c>
      <c r="C5" s="7" t="s">
        <v>65</v>
      </c>
      <c r="D5" s="15" t="s">
        <v>75</v>
      </c>
      <c r="E5" s="2">
        <v>130000</v>
      </c>
      <c r="F5" s="2">
        <v>20</v>
      </c>
      <c r="G5" s="2">
        <v>67</v>
      </c>
      <c r="H5" s="2">
        <f t="shared" si="0"/>
        <v>3780000</v>
      </c>
      <c r="I5" s="2">
        <f t="shared" si="1"/>
        <v>200000</v>
      </c>
      <c r="J5" s="2">
        <f t="shared" si="2"/>
        <v>2392000</v>
      </c>
      <c r="K5" s="2">
        <f t="shared" si="3"/>
        <v>-222000</v>
      </c>
    </row>
    <row r="6" spans="1:11" x14ac:dyDescent="0.35">
      <c r="A6" s="14">
        <v>5</v>
      </c>
      <c r="B6" s="7" t="s">
        <v>52</v>
      </c>
      <c r="C6" s="7" t="s">
        <v>67</v>
      </c>
      <c r="D6" s="15" t="s">
        <v>76</v>
      </c>
      <c r="E6" s="2">
        <v>180000</v>
      </c>
      <c r="F6" s="2">
        <v>23</v>
      </c>
      <c r="G6" s="2">
        <v>47</v>
      </c>
      <c r="H6" s="2">
        <f t="shared" si="0"/>
        <v>2240000</v>
      </c>
      <c r="I6" s="2">
        <f t="shared" si="1"/>
        <v>500000</v>
      </c>
      <c r="J6" s="2">
        <f t="shared" si="2"/>
        <v>3168000</v>
      </c>
      <c r="K6" s="2">
        <f t="shared" si="3"/>
        <v>804000</v>
      </c>
    </row>
    <row r="7" spans="1:11" x14ac:dyDescent="0.35">
      <c r="A7" s="14">
        <v>6</v>
      </c>
      <c r="B7" s="7" t="s">
        <v>53</v>
      </c>
      <c r="C7" s="7" t="s">
        <v>68</v>
      </c>
      <c r="D7" s="15" t="s">
        <v>78</v>
      </c>
      <c r="E7" s="2">
        <v>150000</v>
      </c>
      <c r="F7" s="2">
        <v>24</v>
      </c>
      <c r="G7" s="2">
        <v>56</v>
      </c>
      <c r="H7" s="2">
        <f t="shared" si="0"/>
        <v>2550000</v>
      </c>
      <c r="I7" s="2">
        <f t="shared" si="1"/>
        <v>100000</v>
      </c>
      <c r="J7" s="2">
        <f t="shared" si="2"/>
        <v>1680000</v>
      </c>
      <c r="K7" s="2">
        <f t="shared" si="3"/>
        <v>-504000</v>
      </c>
    </row>
    <row r="8" spans="1:11" x14ac:dyDescent="0.35">
      <c r="A8" s="14">
        <v>7</v>
      </c>
      <c r="B8" s="7" t="s">
        <v>54</v>
      </c>
      <c r="C8" s="7" t="s">
        <v>66</v>
      </c>
      <c r="D8" s="15" t="s">
        <v>77</v>
      </c>
      <c r="E8" s="2">
        <v>140000</v>
      </c>
      <c r="F8" s="2">
        <v>27</v>
      </c>
      <c r="G8" s="2">
        <v>56</v>
      </c>
      <c r="H8" s="2">
        <f t="shared" si="0"/>
        <v>2990000</v>
      </c>
      <c r="I8" s="2">
        <f t="shared" si="1"/>
        <v>100000</v>
      </c>
      <c r="J8" s="2">
        <f t="shared" si="2"/>
        <v>3312000</v>
      </c>
      <c r="K8" s="2">
        <f t="shared" si="3"/>
        <v>4240000</v>
      </c>
    </row>
    <row r="9" spans="1:11" x14ac:dyDescent="0.35">
      <c r="A9" s="14">
        <v>8</v>
      </c>
      <c r="B9" s="7" t="s">
        <v>55</v>
      </c>
      <c r="C9" s="7" t="s">
        <v>69</v>
      </c>
      <c r="D9" s="16">
        <v>20648</v>
      </c>
      <c r="E9" s="2">
        <v>160000</v>
      </c>
      <c r="F9" s="2">
        <v>14</v>
      </c>
      <c r="G9" s="2">
        <v>69</v>
      </c>
      <c r="H9" s="2">
        <f t="shared" si="0"/>
        <v>3960000</v>
      </c>
      <c r="I9" s="2">
        <f t="shared" si="1"/>
        <v>300000</v>
      </c>
      <c r="J9" s="2">
        <f t="shared" si="2"/>
        <v>3456000</v>
      </c>
      <c r="K9" s="2">
        <f t="shared" si="3"/>
        <v>4620000</v>
      </c>
    </row>
    <row r="10" spans="1:11" x14ac:dyDescent="0.35">
      <c r="A10" s="14">
        <v>9</v>
      </c>
      <c r="B10" s="7" t="s">
        <v>56</v>
      </c>
      <c r="C10" s="7" t="s">
        <v>68</v>
      </c>
      <c r="D10" s="16">
        <v>22046</v>
      </c>
      <c r="E10" s="2">
        <v>150000</v>
      </c>
      <c r="F10" s="2">
        <v>17</v>
      </c>
      <c r="G10" s="2">
        <v>65</v>
      </c>
      <c r="H10" s="2">
        <f t="shared" si="0"/>
        <v>2100000</v>
      </c>
      <c r="I10" s="2">
        <f t="shared" si="1"/>
        <v>100000</v>
      </c>
      <c r="J10" s="2">
        <f t="shared" si="2"/>
        <v>2704000</v>
      </c>
      <c r="K10" s="2">
        <f t="shared" si="3"/>
        <v>3480000</v>
      </c>
    </row>
    <row r="11" spans="1:11" x14ac:dyDescent="0.35">
      <c r="A11" s="14">
        <v>10</v>
      </c>
      <c r="B11" s="7" t="s">
        <v>57</v>
      </c>
      <c r="C11" s="7" t="s">
        <v>65</v>
      </c>
      <c r="D11" s="15" t="s">
        <v>79</v>
      </c>
      <c r="E11" s="2">
        <v>130000</v>
      </c>
      <c r="F11" s="2">
        <v>23</v>
      </c>
      <c r="G11" s="2">
        <v>71</v>
      </c>
      <c r="H11" s="2">
        <f t="shared" si="0"/>
        <v>4140000</v>
      </c>
      <c r="I11" s="2">
        <f t="shared" si="1"/>
        <v>100000</v>
      </c>
      <c r="J11" s="2">
        <f t="shared" si="2"/>
        <v>0</v>
      </c>
      <c r="K11" s="2">
        <f t="shared" si="3"/>
        <v>100000</v>
      </c>
    </row>
    <row r="12" spans="1:11" x14ac:dyDescent="0.35">
      <c r="A12" s="14">
        <v>11</v>
      </c>
      <c r="B12" s="7" t="s">
        <v>58</v>
      </c>
      <c r="C12" s="7" t="s">
        <v>64</v>
      </c>
      <c r="D12" s="15" t="s">
        <v>80</v>
      </c>
      <c r="E12" s="2">
        <v>180000</v>
      </c>
      <c r="F12" s="2">
        <v>22</v>
      </c>
      <c r="G12" s="2">
        <v>58</v>
      </c>
      <c r="H12" s="2">
        <f t="shared" si="0"/>
        <v>4320000</v>
      </c>
      <c r="I12" s="2">
        <f t="shared" si="1"/>
        <v>300000</v>
      </c>
      <c r="J12" s="2">
        <f t="shared" si="2"/>
        <v>0</v>
      </c>
      <c r="K12" s="2">
        <f t="shared" si="3"/>
        <v>100000</v>
      </c>
    </row>
    <row r="13" spans="1:11" x14ac:dyDescent="0.35">
      <c r="A13" s="14">
        <v>12</v>
      </c>
      <c r="B13" s="7" t="s">
        <v>59</v>
      </c>
      <c r="C13" s="7" t="s">
        <v>65</v>
      </c>
      <c r="D13" s="15" t="s">
        <v>81</v>
      </c>
      <c r="E13" s="2">
        <v>150000</v>
      </c>
      <c r="F13" s="2">
        <v>14</v>
      </c>
      <c r="G13" s="2">
        <v>56</v>
      </c>
      <c r="H13" s="2">
        <f t="shared" si="0"/>
        <v>3380000</v>
      </c>
      <c r="I13" s="2">
        <f t="shared" si="1"/>
        <v>100000</v>
      </c>
      <c r="J13" s="2">
        <f t="shared" si="2"/>
        <v>0</v>
      </c>
      <c r="K13" s="2">
        <f t="shared" si="3"/>
        <v>100000</v>
      </c>
    </row>
    <row r="14" spans="1:11" x14ac:dyDescent="0.35">
      <c r="A14" s="14">
        <v>13</v>
      </c>
      <c r="B14" s="7" t="s">
        <v>60</v>
      </c>
      <c r="C14" s="7" t="s">
        <v>70</v>
      </c>
      <c r="D14" s="16">
        <v>21467</v>
      </c>
      <c r="E14" s="2">
        <v>180000</v>
      </c>
      <c r="F14" s="2">
        <v>23</v>
      </c>
      <c r="G14" s="2">
        <v>67</v>
      </c>
      <c r="H14" s="2">
        <v>0</v>
      </c>
      <c r="I14" s="2">
        <f t="shared" si="1"/>
        <v>100000</v>
      </c>
      <c r="J14" s="2">
        <f t="shared" si="2"/>
        <v>0</v>
      </c>
      <c r="K14" s="2">
        <f t="shared" si="3"/>
        <v>0</v>
      </c>
    </row>
    <row r="15" spans="1:11" x14ac:dyDescent="0.35">
      <c r="A15" s="14">
        <v>14</v>
      </c>
      <c r="B15" s="7" t="s">
        <v>61</v>
      </c>
      <c r="C15" s="7" t="s">
        <v>64</v>
      </c>
      <c r="D15" s="15" t="s">
        <v>82</v>
      </c>
      <c r="E15" s="2">
        <v>160000</v>
      </c>
      <c r="F15" s="2">
        <v>27</v>
      </c>
      <c r="G15" s="2">
        <v>71</v>
      </c>
      <c r="H15" s="2">
        <v>0</v>
      </c>
      <c r="I15" s="2">
        <f t="shared" si="1"/>
        <v>100000</v>
      </c>
      <c r="J15" s="2">
        <f t="shared" si="2"/>
        <v>0</v>
      </c>
      <c r="K15" s="2">
        <f t="shared" si="3"/>
        <v>0</v>
      </c>
    </row>
    <row r="16" spans="1:11" x14ac:dyDescent="0.35">
      <c r="A16" s="14">
        <v>15</v>
      </c>
      <c r="B16" s="7" t="s">
        <v>62</v>
      </c>
      <c r="C16" s="7" t="s">
        <v>68</v>
      </c>
      <c r="D16" s="15" t="s">
        <v>83</v>
      </c>
      <c r="E16" s="2">
        <v>130000</v>
      </c>
      <c r="F16" s="2">
        <v>26</v>
      </c>
      <c r="G16" s="2">
        <v>57</v>
      </c>
      <c r="H16" s="2">
        <f t="shared" si="0"/>
        <v>0</v>
      </c>
      <c r="I16" s="2">
        <f t="shared" si="1"/>
        <v>100000</v>
      </c>
      <c r="J16" s="2">
        <f t="shared" si="2"/>
        <v>0</v>
      </c>
      <c r="K16" s="2">
        <f t="shared" si="3"/>
        <v>0</v>
      </c>
    </row>
    <row r="17" spans="1:12" x14ac:dyDescent="0.35">
      <c r="A17" s="8" t="s">
        <v>88</v>
      </c>
      <c r="B17" s="8"/>
      <c r="C17" s="8"/>
      <c r="D17" s="8"/>
      <c r="E17" s="8"/>
      <c r="F17" s="8"/>
      <c r="G17" s="17"/>
      <c r="H17" s="17"/>
      <c r="I17" s="17"/>
      <c r="J17" s="17"/>
      <c r="K17" s="17">
        <f>SUM(K2:K16)</f>
        <v>14848000</v>
      </c>
      <c r="L17" s="5"/>
    </row>
    <row r="18" spans="1:12" x14ac:dyDescent="0.35">
      <c r="A18" s="8" t="s">
        <v>89</v>
      </c>
      <c r="B18" s="8"/>
      <c r="C18" s="8"/>
      <c r="D18" s="8"/>
      <c r="E18" s="8"/>
      <c r="F18" s="8"/>
      <c r="G18" s="17"/>
      <c r="H18" s="17"/>
      <c r="I18" s="17"/>
      <c r="J18" s="17"/>
      <c r="K18" s="17">
        <f>AVERAGE(K2:K16)</f>
        <v>989866.66666666663</v>
      </c>
    </row>
    <row r="19" spans="1:12" x14ac:dyDescent="0.35">
      <c r="A19" s="8" t="s">
        <v>43</v>
      </c>
      <c r="B19" s="8"/>
      <c r="C19" s="8"/>
      <c r="D19" s="8"/>
      <c r="E19" s="8"/>
      <c r="F19" s="8"/>
      <c r="G19" s="17"/>
      <c r="H19" s="17"/>
      <c r="I19" s="17"/>
      <c r="J19" s="17"/>
      <c r="K19" s="17">
        <f>MAX(K2:K16)</f>
        <v>4620000</v>
      </c>
    </row>
    <row r="20" spans="1:12" x14ac:dyDescent="0.35">
      <c r="A20" s="8" t="s">
        <v>90</v>
      </c>
      <c r="B20" s="8"/>
      <c r="C20" s="8"/>
      <c r="D20" s="8"/>
      <c r="E20" s="8"/>
      <c r="F20" s="8"/>
      <c r="G20" s="17"/>
      <c r="H20" s="17"/>
      <c r="I20" s="17"/>
      <c r="J20" s="17"/>
      <c r="K20" s="17">
        <f>MIN(K2:K16)</f>
        <v>-504000</v>
      </c>
    </row>
  </sheetData>
  <mergeCells count="4">
    <mergeCell ref="A17:F17"/>
    <mergeCell ref="A18:F18"/>
    <mergeCell ref="A19:F19"/>
    <mergeCell ref="A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2B18-7A90-4821-9089-93BD5D01EFBA}">
  <dimension ref="A1:J16"/>
  <sheetViews>
    <sheetView tabSelected="1" workbookViewId="0">
      <selection activeCell="A11" sqref="A11:D16"/>
    </sheetView>
  </sheetViews>
  <sheetFormatPr defaultRowHeight="14.5" x14ac:dyDescent="0.35"/>
  <cols>
    <col min="2" max="2" width="10.1796875" customWidth="1"/>
    <col min="3" max="3" width="9.6328125" customWidth="1"/>
    <col min="6" max="6" width="10.08984375" customWidth="1"/>
    <col min="9" max="9" width="9.81640625" customWidth="1"/>
  </cols>
  <sheetData>
    <row r="1" spans="1:10" x14ac:dyDescent="0.35">
      <c r="A1" s="2" t="s">
        <v>0</v>
      </c>
      <c r="B1" s="2" t="s">
        <v>94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103</v>
      </c>
      <c r="H1" s="2" t="s">
        <v>106</v>
      </c>
      <c r="I1" s="2" t="s">
        <v>107</v>
      </c>
      <c r="J1" s="2" t="s">
        <v>108</v>
      </c>
    </row>
    <row r="2" spans="1:10" x14ac:dyDescent="0.35">
      <c r="A2" s="2">
        <v>1</v>
      </c>
      <c r="B2" s="2" t="s">
        <v>95</v>
      </c>
      <c r="C2" s="2"/>
      <c r="D2" s="2"/>
      <c r="E2" s="2"/>
      <c r="F2" s="2"/>
      <c r="G2" s="2"/>
      <c r="H2" s="2"/>
      <c r="I2" s="2"/>
      <c r="J2" s="2"/>
    </row>
    <row r="3" spans="1:10" x14ac:dyDescent="0.35">
      <c r="A3" s="2">
        <v>2</v>
      </c>
      <c r="B3" s="2" t="s">
        <v>96</v>
      </c>
      <c r="C3" s="2"/>
      <c r="D3" s="2"/>
      <c r="E3" s="2"/>
      <c r="F3" s="2"/>
      <c r="G3" s="2"/>
      <c r="H3" s="2"/>
      <c r="I3" s="2"/>
      <c r="J3" s="2"/>
    </row>
    <row r="4" spans="1:10" x14ac:dyDescent="0.35">
      <c r="A4" s="2">
        <v>3</v>
      </c>
      <c r="B4" s="2" t="s">
        <v>97</v>
      </c>
      <c r="C4" s="2"/>
      <c r="D4" s="2"/>
      <c r="E4" s="2"/>
      <c r="F4" s="2"/>
      <c r="G4" s="2"/>
      <c r="H4" s="2"/>
      <c r="I4" s="2"/>
      <c r="J4" s="2"/>
    </row>
    <row r="5" spans="1:10" x14ac:dyDescent="0.35">
      <c r="A5" s="2">
        <v>4</v>
      </c>
      <c r="B5" s="2" t="s">
        <v>98</v>
      </c>
      <c r="C5" s="2"/>
      <c r="D5" s="2"/>
      <c r="E5" s="2"/>
      <c r="F5" s="2"/>
      <c r="G5" s="2"/>
      <c r="H5" s="2"/>
      <c r="I5" s="2"/>
      <c r="J5" s="2"/>
    </row>
    <row r="6" spans="1:10" x14ac:dyDescent="0.35">
      <c r="A6" s="2">
        <v>5</v>
      </c>
      <c r="B6" s="2" t="s">
        <v>99</v>
      </c>
      <c r="C6" s="2"/>
      <c r="D6" s="2"/>
      <c r="E6" s="2"/>
      <c r="F6" s="2"/>
      <c r="G6" s="2"/>
      <c r="H6" s="2"/>
      <c r="I6" s="2"/>
      <c r="J6" s="2"/>
    </row>
    <row r="7" spans="1:10" x14ac:dyDescent="0.35">
      <c r="A7" s="2">
        <v>6</v>
      </c>
      <c r="B7" s="2" t="s">
        <v>100</v>
      </c>
      <c r="C7" s="2"/>
      <c r="D7" s="2"/>
      <c r="E7" s="2"/>
      <c r="F7" s="2"/>
      <c r="G7" s="2"/>
      <c r="H7" s="2"/>
      <c r="I7" s="2"/>
      <c r="J7" s="2"/>
    </row>
    <row r="8" spans="1:10" x14ac:dyDescent="0.35">
      <c r="A8" s="2">
        <v>7</v>
      </c>
      <c r="B8" s="2" t="s">
        <v>101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2">
        <v>8</v>
      </c>
      <c r="B9" s="2" t="s">
        <v>97</v>
      </c>
      <c r="C9" s="2"/>
      <c r="D9" s="2"/>
      <c r="E9" s="2"/>
      <c r="F9" s="2"/>
      <c r="G9" s="2"/>
      <c r="H9" s="2"/>
      <c r="I9" s="2"/>
      <c r="J9" s="2"/>
    </row>
    <row r="10" spans="1:10" x14ac:dyDescent="0.35">
      <c r="A10" s="8" t="s">
        <v>109</v>
      </c>
      <c r="B10" s="8"/>
      <c r="C10" s="8"/>
      <c r="D10" s="2"/>
      <c r="E10" s="2"/>
      <c r="F10" s="2"/>
      <c r="G10" s="2"/>
      <c r="H10" s="2"/>
      <c r="I10" s="2"/>
      <c r="J10" s="2"/>
    </row>
    <row r="11" spans="1:10" x14ac:dyDescent="0.35">
      <c r="A11" s="8" t="s">
        <v>110</v>
      </c>
      <c r="B11" s="8"/>
      <c r="C11" s="8"/>
      <c r="D11" s="8"/>
    </row>
    <row r="12" spans="1:10" x14ac:dyDescent="0.35">
      <c r="A12" s="17"/>
      <c r="B12" s="17" t="s">
        <v>94</v>
      </c>
      <c r="C12" s="17" t="s">
        <v>115</v>
      </c>
      <c r="D12" s="17"/>
      <c r="E12" s="5"/>
    </row>
    <row r="13" spans="1:10" x14ac:dyDescent="0.35">
      <c r="A13" s="2"/>
      <c r="B13" s="17" t="s">
        <v>111</v>
      </c>
      <c r="C13" s="2"/>
      <c r="D13" s="2"/>
    </row>
    <row r="14" spans="1:10" x14ac:dyDescent="0.35">
      <c r="A14" s="2"/>
      <c r="B14" s="17" t="s">
        <v>112</v>
      </c>
      <c r="C14" s="2"/>
      <c r="D14" s="2"/>
    </row>
    <row r="15" spans="1:10" x14ac:dyDescent="0.35">
      <c r="A15" s="2"/>
      <c r="B15" s="17" t="s">
        <v>113</v>
      </c>
      <c r="C15" s="2"/>
      <c r="D15" s="2"/>
    </row>
    <row r="16" spans="1:10" x14ac:dyDescent="0.35">
      <c r="A16" s="2"/>
      <c r="B16" s="17" t="s">
        <v>114</v>
      </c>
      <c r="C16" s="2"/>
      <c r="D16" s="2"/>
    </row>
  </sheetData>
  <mergeCells count="2">
    <mergeCell ref="A10:C10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B2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2025-12-24T04:47:49Z</dcterms:created>
  <dcterms:modified xsi:type="dcterms:W3CDTF">2025-12-24T07:14:13Z</dcterms:modified>
</cp:coreProperties>
</file>