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0C39E5E6-90D8-4B25-ADD6-9545C4FABCFD}" xr6:coauthVersionLast="47" xr6:coauthVersionMax="47" xr10:uidLastSave="{00000000-0000-0000-0000-000000000000}"/>
  <bookViews>
    <workbookView xWindow="-110" yWindow="-110" windowWidth="19420" windowHeight="10300" activeTab="3" xr2:uid="{C358E8FB-ECF2-4A42-9DE9-7BDFBFB0DCCD}"/>
  </bookViews>
  <sheets>
    <sheet name="Sheet1" sheetId="1" r:id="rId1"/>
    <sheet name="Sheet2" sheetId="2" r:id="rId2"/>
    <sheet name="Sheet3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3" l="1"/>
  <c r="I19" i="3"/>
  <c r="H6" i="5"/>
  <c r="H7" i="5"/>
  <c r="H8" i="5"/>
  <c r="H9" i="5"/>
  <c r="H10" i="5"/>
  <c r="H11" i="5"/>
  <c r="H12" i="5"/>
  <c r="H5" i="5"/>
  <c r="E6" i="5"/>
  <c r="E7" i="5"/>
  <c r="E8" i="5"/>
  <c r="E9" i="5"/>
  <c r="E10" i="5"/>
  <c r="E11" i="5"/>
  <c r="E12" i="5"/>
  <c r="E5" i="5"/>
  <c r="D6" i="5"/>
  <c r="D7" i="5"/>
  <c r="G7" i="5" s="1"/>
  <c r="D8" i="5"/>
  <c r="G8" i="5" s="1"/>
  <c r="D9" i="5"/>
  <c r="G9" i="5" s="1"/>
  <c r="D10" i="5"/>
  <c r="D11" i="5"/>
  <c r="D12" i="5"/>
  <c r="D5" i="5"/>
  <c r="C5" i="5" a="1"/>
  <c r="C5" i="5" s="1"/>
  <c r="H6" i="3"/>
  <c r="H18" i="3"/>
  <c r="G5" i="3"/>
  <c r="H5" i="3" s="1"/>
  <c r="G6" i="3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G4" i="3"/>
  <c r="H4" i="3" s="1"/>
  <c r="I4" i="3" a="1"/>
  <c r="I4" i="3" s="1"/>
  <c r="I21" i="3" s="1"/>
  <c r="H9" i="2"/>
  <c r="H10" i="2"/>
  <c r="H11" i="2"/>
  <c r="H12" i="2"/>
  <c r="H13" i="2"/>
  <c r="H8" i="2"/>
  <c r="G8" i="2" a="1"/>
  <c r="G8" i="2" s="1"/>
  <c r="F8" i="2" a="1"/>
  <c r="F8" i="2" s="1"/>
  <c r="I9" i="5" l="1"/>
  <c r="J9" i="5" s="1"/>
  <c r="I8" i="5"/>
  <c r="J8" i="5" s="1"/>
  <c r="F12" i="5"/>
  <c r="F5" i="5"/>
  <c r="F7" i="5"/>
  <c r="I7" i="5"/>
  <c r="J7" i="5" s="1"/>
  <c r="F11" i="5"/>
  <c r="F10" i="5"/>
  <c r="H20" i="3"/>
  <c r="J16" i="3"/>
  <c r="J13" i="3"/>
  <c r="J12" i="3"/>
  <c r="G22" i="3"/>
  <c r="I22" i="3"/>
  <c r="H21" i="3"/>
  <c r="H22" i="3"/>
  <c r="G20" i="3"/>
  <c r="I20" i="3"/>
  <c r="J18" i="3"/>
  <c r="G21" i="3"/>
  <c r="G5" i="5"/>
  <c r="I5" i="5" s="1"/>
  <c r="F6" i="5"/>
  <c r="G11" i="5"/>
  <c r="I11" i="5" s="1"/>
  <c r="J11" i="5" s="1"/>
  <c r="G10" i="5"/>
  <c r="I10" i="5" s="1"/>
  <c r="J10" i="5" s="1"/>
  <c r="G6" i="5"/>
  <c r="I6" i="5" s="1"/>
  <c r="J6" i="5" s="1"/>
  <c r="F9" i="5"/>
  <c r="F8" i="5"/>
  <c r="G12" i="5"/>
  <c r="I12" i="5" s="1"/>
  <c r="J12" i="5" s="1"/>
  <c r="J9" i="3"/>
  <c r="J10" i="3"/>
  <c r="J11" i="3"/>
  <c r="J17" i="3"/>
  <c r="J15" i="3"/>
  <c r="J14" i="3"/>
  <c r="J8" i="3"/>
  <c r="J7" i="3"/>
  <c r="J6" i="3"/>
  <c r="J5" i="3"/>
  <c r="J4" i="3"/>
  <c r="C13" i="5" l="1"/>
  <c r="J5" i="5"/>
  <c r="C14" i="5"/>
  <c r="G19" i="3"/>
  <c r="H19" i="3" s="1"/>
  <c r="J21" i="3"/>
  <c r="J20" i="3"/>
  <c r="J22" i="3"/>
  <c r="H8" i="1" l="1"/>
  <c r="H9" i="1"/>
  <c r="J9" i="1" s="1"/>
  <c r="K9" i="1" s="1"/>
  <c r="H10" i="1"/>
  <c r="H11" i="1"/>
  <c r="J11" i="1" s="1"/>
  <c r="K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H7" i="1"/>
  <c r="J10" i="1" l="1"/>
  <c r="K10" i="1" s="1"/>
  <c r="J18" i="1"/>
  <c r="K18" i="1" s="1"/>
  <c r="J16" i="1"/>
  <c r="K16" i="1" s="1"/>
  <c r="J15" i="1"/>
  <c r="K15" i="1" s="1"/>
  <c r="J17" i="1"/>
  <c r="K17" i="1" s="1"/>
  <c r="J7" i="1"/>
  <c r="K7" i="1" s="1"/>
  <c r="J8" i="1"/>
  <c r="K8" i="1" s="1"/>
  <c r="I10" i="1"/>
  <c r="J13" i="1"/>
  <c r="K13" i="1" s="1"/>
  <c r="I9" i="1"/>
  <c r="J12" i="1"/>
  <c r="K12" i="1" s="1"/>
  <c r="I11" i="1"/>
  <c r="I8" i="1"/>
  <c r="I7" i="1"/>
  <c r="E20" i="1"/>
  <c r="J14" i="1"/>
  <c r="K14" i="1" s="1"/>
  <c r="I18" i="1"/>
  <c r="E21" i="1"/>
  <c r="E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<sst xmlns="http://schemas.openxmlformats.org/spreadsheetml/2006/main" count="159" uniqueCount="127">
  <si>
    <t xml:space="preserve">KẾT QUẢ THI CUỐI KHÓA 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</si>
  <si>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</si>
  <si>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</si>
  <si>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</si>
  <si>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</si>
  <si>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</si>
  <si>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</si>
  <si>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</si>
  <si>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</si>
  <si>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</si>
  <si>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</si>
  <si>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 xml:space="preserve">LÂM </t>
  </si>
  <si>
    <t>HẢI</t>
  </si>
  <si>
    <t>HIỆP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</si>
  <si>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</si>
  <si>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</si>
  <si>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</si>
  <si>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</si>
  <si>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</si>
  <si>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</si>
  <si>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</si>
  <si>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</si>
  <si>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</si>
  <si>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</si>
  <si>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KHEN THƯỞNG</t>
  </si>
  <si>
    <t>TRUNG BÌNH</t>
  </si>
  <si>
    <t>CAO NHẤT</t>
  </si>
  <si>
    <t>THẤP NHẤT</t>
  </si>
  <si>
    <t>Bảng tính 2</t>
  </si>
  <si>
    <t>DANH SÁCH THƯỞNG THÁNG 3</t>
  </si>
  <si>
    <t>HỌ</t>
  </si>
  <si>
    <t>TÊN</t>
  </si>
  <si>
    <t>NGÀY CÔNG</t>
  </si>
  <si>
    <t>THƯỞNG 8-3</t>
  </si>
  <si>
    <t>THƯỞNG A</t>
  </si>
  <si>
    <t xml:space="preserve">Trần Thanh </t>
  </si>
  <si>
    <t>Phạm Hùng</t>
  </si>
  <si>
    <t>Lê Ngọc</t>
  </si>
  <si>
    <t>Phạm Thanh</t>
  </si>
  <si>
    <t>Phạm Hoài</t>
  </si>
  <si>
    <t>Lê Thanh</t>
  </si>
  <si>
    <t>Tuân</t>
  </si>
  <si>
    <t>Cường</t>
  </si>
  <si>
    <t>Xuân</t>
  </si>
  <si>
    <t>Long</t>
  </si>
  <si>
    <t>Nam</t>
  </si>
  <si>
    <t>Lan</t>
  </si>
  <si>
    <t>Nữ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</si>
  <si>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</si>
  <si>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</si>
  <si>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</si>
  <si>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</si>
  <si>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</si>
  <si>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</si>
  <si>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</si>
  <si>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</si>
  <si>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 xml:space="preserve">Nguyễn Văn Tâm </t>
  </si>
  <si>
    <t>Nguyễn Thị Hằng</t>
  </si>
  <si>
    <t xml:space="preserve">Ngô Thị Nga </t>
  </si>
  <si>
    <t>Trân Thiên Thu</t>
  </si>
  <si>
    <t>Lâm Hoàng Cát</t>
  </si>
  <si>
    <t>Lê Hoài Sơn</t>
  </si>
  <si>
    <t>Lý Lâm</t>
  </si>
  <si>
    <t>Trần Văn Trung</t>
  </si>
  <si>
    <t>Nguyễn Văn Trang</t>
  </si>
  <si>
    <t>Trần Thị Phương</t>
  </si>
  <si>
    <t>Nguyễn Văn Hùng</t>
  </si>
  <si>
    <t>Lý Thị Nga</t>
  </si>
  <si>
    <t>Võ Tấn Thành</t>
  </si>
  <si>
    <t>Lê Hoàn Minh</t>
  </si>
  <si>
    <t xml:space="preserve">Doãn Hòa </t>
  </si>
  <si>
    <t>TP</t>
  </si>
  <si>
    <t>NV</t>
  </si>
  <si>
    <t>PP</t>
  </si>
  <si>
    <t>KT</t>
  </si>
  <si>
    <t>BV</t>
  </si>
  <si>
    <t>GĐ</t>
  </si>
  <si>
    <t>PGĐ</t>
  </si>
  <si>
    <t>22/9/1975</t>
  </si>
  <si>
    <t>14/5/1968</t>
  </si>
  <si>
    <t>15/5/1958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</si>
  <si>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</si>
  <si>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</si>
  <si>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</si>
  <si>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</si>
  <si>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</si>
  <si>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</si>
  <si>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</si>
  <si>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24/81968</t>
  </si>
  <si>
    <t>THƯỞNG</t>
  </si>
  <si>
    <t>CÒN LẠI</t>
  </si>
  <si>
    <t xml:space="preserve">Tổng cộng </t>
  </si>
  <si>
    <t>Bình quân</t>
  </si>
  <si>
    <t xml:space="preserve">Cao nhất </t>
  </si>
  <si>
    <t>Thấp nhất</t>
  </si>
  <si>
    <t>MÃ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</si>
  <si>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</si>
  <si>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</si>
  <si>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</si>
  <si>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</si>
  <si>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</si>
  <si>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</si>
  <si>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</si>
  <si>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TÊN HÀNG</t>
  </si>
  <si>
    <t>Pa</t>
  </si>
  <si>
    <t>Máy lạnh Panasonic</t>
  </si>
  <si>
    <t>To</t>
  </si>
  <si>
    <t>Máy lạnh Toshiba</t>
  </si>
  <si>
    <t>Sa</t>
  </si>
  <si>
    <t>Máy lạnh Sanyo</t>
  </si>
  <si>
    <t>Hi</t>
  </si>
  <si>
    <t>Máy lạnh Hitachi</t>
  </si>
  <si>
    <t>HI00C12</t>
  </si>
  <si>
    <t>HI00A13</t>
  </si>
  <si>
    <t>Pa01A2</t>
  </si>
  <si>
    <t>Pa00C15</t>
  </si>
  <si>
    <t>Sa00B2</t>
  </si>
  <si>
    <t>To00C23</t>
  </si>
  <si>
    <t>To00B12</t>
  </si>
  <si>
    <t>Sa00B3</t>
  </si>
  <si>
    <t>Stt</t>
  </si>
  <si>
    <t>bảng tra dữ liệu các loại máy lạnh:</t>
  </si>
  <si>
    <t>Bảng tính 4</t>
  </si>
  <si>
    <t>Bảng tính 3:</t>
  </si>
  <si>
    <t>Bảng tính 1:</t>
  </si>
  <si>
    <t>tổng tiền nhập</t>
  </si>
  <si>
    <t>tổng tiền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</si>
</sst>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/>
    <xf numFmtId="0" fontId="0" fillId="3" borderId="1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AB7-8F81-4244-B31C-A57B440342E8}">
  <sheetPr codeName="Sheet1"/>
  <dimension ref="A1:K22"/>
  <sheetViews>
    <sheetView topLeftCell="A15" workbookViewId="0">
      <selection activeCell="P13" sqref="P13"/>
    </sheetView>
  </sheetViews>
  <sheetFormatPr defaultRowHeight="14.5" x14ac:dyDescent="0.35"/>
  <cols>
    <col min="1" max="1" width="4.453125" customWidth="1"/>
    <col min="2" max="2" width="6.6328125" bestFit="1" customWidth="1"/>
    <col min="3" max="3" width="4.7265625" bestFit="1" customWidth="1"/>
    <col min="4" max="4" width="4.81640625" bestFit="1" customWidth="1"/>
    <col min="5" max="5" width="5.453125" bestFit="1" customWidth="1"/>
    <col min="6" max="6" width="4.26953125" bestFit="1" customWidth="1"/>
    <col min="7" max="7" width="10.54296875" bestFit="1" customWidth="1"/>
    <col min="8" max="8" width="4.08984375" bestFit="1" customWidth="1"/>
    <col min="9" max="9" width="3.7265625" bestFit="1" customWidth="1"/>
    <col min="10" max="10" width="9.1796875" bestFit="1" customWidth="1"/>
    <col min="11" max="11" width="13.26953125" bestFit="1" customWidth="1"/>
  </cols>
  <sheetData>
    <row r="1" spans="1:11" s="7" customFormat="1" x14ac:dyDescent="0.35">
      <c r="A1" s="7" t="s">
        <v>124</v>
      </c>
    </row>
    <row r="2" spans="1:11" s="7" customFormat="1" x14ac:dyDescent="0.35"/>
    <row r="3" spans="1:11" x14ac:dyDescent="0.35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thickBo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" thickTop="1" x14ac:dyDescent="0.35">
      <c r="A5" s="20" t="s">
        <v>1</v>
      </c>
      <c r="B5" s="20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0" t="s">
        <v>8</v>
      </c>
      <c r="I5" s="20" t="s">
        <v>9</v>
      </c>
      <c r="J5" s="20" t="s">
        <v>10</v>
      </c>
      <c r="K5" s="20" t="s">
        <v>24</v>
      </c>
    </row>
    <row r="6" spans="1:11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35">
      <c r="A7" s="4">
        <v>1</v>
      </c>
      <c r="B7" s="4" t="s">
        <v>11</v>
      </c>
      <c r="C7" s="4" t="s">
        <v>18</v>
      </c>
      <c r="D7" s="4">
        <v>1988</v>
      </c>
      <c r="E7" s="4">
        <v>10</v>
      </c>
      <c r="F7" s="4">
        <v>8</v>
      </c>
      <c r="G7" s="4">
        <v>9</v>
      </c>
      <c r="H7" s="4">
        <f>(E7*2+F7*2+G7)/5</f>
        <v>9</v>
      </c>
      <c r="I7" s="4" t="str">
        <f>IF(H7&gt;=5,"Đạt","Rớt")</f>
        <v>Đạt</v>
      </c>
      <c r="J7" s="4">
        <f>RANK(H7,$H$7:$H$18,0)</f>
        <v>1</v>
      </c>
      <c r="K7" s="4">
        <f>IF(J7=1,200000,IF(J7=2,100000,0))</f>
        <v>200000</v>
      </c>
    </row>
    <row r="8" spans="1:11" x14ac:dyDescent="0.35">
      <c r="A8" s="4">
        <v>2</v>
      </c>
      <c r="B8" s="4" t="s">
        <v>12</v>
      </c>
      <c r="C8" s="4" t="s">
        <v>18</v>
      </c>
      <c r="D8" s="4">
        <v>1987</v>
      </c>
      <c r="E8" s="4">
        <v>8</v>
      </c>
      <c r="F8" s="4">
        <v>8.5</v>
      </c>
      <c r="G8" s="4">
        <v>9</v>
      </c>
      <c r="H8" s="4">
        <f t="shared" ref="H8:H18" si="0">(E8*2+F8*2+G8)/5</f>
        <v>8.4</v>
      </c>
      <c r="I8" s="4" t="str">
        <f t="shared" ref="I8:I18" si="1">IF(H8&gt;=5,"Đạt","Rớt")</f>
        <v>Đạt</v>
      </c>
      <c r="J8" s="4">
        <f t="shared" ref="J8:J18" si="2">RANK(H8,$H$7:$H$18,0)</f>
        <v>2</v>
      </c>
      <c r="K8" s="4">
        <f t="shared" ref="K8:K18" si="3">IF(J8=1,200000,IF(J8=2,100000,0))</f>
        <v>100000</v>
      </c>
    </row>
    <row r="9" spans="1:11" x14ac:dyDescent="0.35">
      <c r="A9" s="4">
        <v>3</v>
      </c>
      <c r="B9" s="4" t="s">
        <v>13</v>
      </c>
      <c r="C9" s="4" t="s">
        <v>18</v>
      </c>
      <c r="D9" s="4">
        <v>1986</v>
      </c>
      <c r="E9" s="4">
        <v>9</v>
      </c>
      <c r="F9" s="4">
        <v>8</v>
      </c>
      <c r="G9" s="4">
        <v>7</v>
      </c>
      <c r="H9" s="4">
        <f t="shared" si="0"/>
        <v>8.1999999999999993</v>
      </c>
      <c r="I9" s="4" t="str">
        <f t="shared" si="1"/>
        <v>Đạt</v>
      </c>
      <c r="J9" s="4">
        <f t="shared" si="2"/>
        <v>3</v>
      </c>
      <c r="K9" s="4">
        <f t="shared" si="3"/>
        <v>0</v>
      </c>
    </row>
    <row r="10" spans="1:11" x14ac:dyDescent="0.35">
      <c r="A10" s="4">
        <v>4</v>
      </c>
      <c r="B10" s="4" t="s">
        <v>14</v>
      </c>
      <c r="C10" s="4" t="s">
        <v>23</v>
      </c>
      <c r="D10" s="4">
        <v>1988</v>
      </c>
      <c r="E10" s="4">
        <v>10</v>
      </c>
      <c r="F10" s="4">
        <v>4</v>
      </c>
      <c r="G10" s="4">
        <v>7</v>
      </c>
      <c r="H10" s="4">
        <f t="shared" si="0"/>
        <v>7</v>
      </c>
      <c r="I10" s="4" t="str">
        <f t="shared" si="1"/>
        <v>Đạt</v>
      </c>
      <c r="J10" s="4">
        <f t="shared" si="2"/>
        <v>4</v>
      </c>
      <c r="K10" s="4">
        <f t="shared" si="3"/>
        <v>0</v>
      </c>
    </row>
    <row r="11" spans="1:11" x14ac:dyDescent="0.35">
      <c r="A11" s="4">
        <v>5</v>
      </c>
      <c r="B11" s="4" t="s">
        <v>15</v>
      </c>
      <c r="C11" s="4" t="s">
        <v>18</v>
      </c>
      <c r="D11" s="4">
        <v>1988</v>
      </c>
      <c r="E11" s="4">
        <v>9</v>
      </c>
      <c r="F11" s="4">
        <v>5</v>
      </c>
      <c r="G11" s="4">
        <v>6</v>
      </c>
      <c r="H11" s="4">
        <f t="shared" si="0"/>
        <v>6.8</v>
      </c>
      <c r="I11" s="4" t="str">
        <f t="shared" si="1"/>
        <v>Đạt</v>
      </c>
      <c r="J11" s="4">
        <f t="shared" si="2"/>
        <v>5</v>
      </c>
      <c r="K11" s="4">
        <f t="shared" si="3"/>
        <v>0</v>
      </c>
    </row>
    <row r="12" spans="1:11" x14ac:dyDescent="0.35">
      <c r="A12" s="4">
        <v>6</v>
      </c>
      <c r="B12" s="4" t="s">
        <v>16</v>
      </c>
      <c r="C12" s="4" t="s">
        <v>23</v>
      </c>
      <c r="D12" s="4">
        <v>1987</v>
      </c>
      <c r="E12" s="4">
        <v>6</v>
      </c>
      <c r="F12" s="4">
        <v>6</v>
      </c>
      <c r="G12" s="4">
        <v>8</v>
      </c>
      <c r="H12" s="4">
        <f t="shared" si="0"/>
        <v>6.4</v>
      </c>
      <c r="I12" s="4" t="str">
        <f t="shared" si="1"/>
        <v>Đạt</v>
      </c>
      <c r="J12" s="4">
        <f t="shared" si="2"/>
        <v>6</v>
      </c>
      <c r="K12" s="4">
        <f t="shared" si="3"/>
        <v>0</v>
      </c>
    </row>
    <row r="13" spans="1:11" x14ac:dyDescent="0.35">
      <c r="A13" s="4">
        <v>7</v>
      </c>
      <c r="B13" s="4" t="s">
        <v>17</v>
      </c>
      <c r="C13" s="4" t="s">
        <v>18</v>
      </c>
      <c r="D13" s="4">
        <v>1986</v>
      </c>
      <c r="E13" s="4">
        <v>7.5</v>
      </c>
      <c r="F13" s="4">
        <v>5</v>
      </c>
      <c r="G13" s="4">
        <v>6</v>
      </c>
      <c r="H13" s="4">
        <f t="shared" si="0"/>
        <v>6.2</v>
      </c>
      <c r="I13" s="4" t="str">
        <f t="shared" si="1"/>
        <v>Đạt</v>
      </c>
      <c r="J13" s="4">
        <f t="shared" si="2"/>
        <v>7</v>
      </c>
      <c r="K13" s="4">
        <f t="shared" si="3"/>
        <v>0</v>
      </c>
    </row>
    <row r="14" spans="1:11" x14ac:dyDescent="0.35">
      <c r="A14" s="4">
        <v>8</v>
      </c>
      <c r="B14" s="4" t="s">
        <v>18</v>
      </c>
      <c r="C14" s="4" t="s">
        <v>18</v>
      </c>
      <c r="D14" s="4">
        <v>1988</v>
      </c>
      <c r="E14" s="4">
        <v>3</v>
      </c>
      <c r="F14" s="4">
        <v>9</v>
      </c>
      <c r="G14" s="4">
        <v>7</v>
      </c>
      <c r="H14" s="4">
        <f t="shared" si="0"/>
        <v>6.2</v>
      </c>
      <c r="I14" s="4" t="str">
        <f t="shared" si="1"/>
        <v>Đạt</v>
      </c>
      <c r="J14" s="4">
        <f t="shared" si="2"/>
        <v>7</v>
      </c>
      <c r="K14" s="4">
        <f t="shared" si="3"/>
        <v>0</v>
      </c>
    </row>
    <row r="15" spans="1:11" x14ac:dyDescent="0.35">
      <c r="A15" s="4">
        <v>9</v>
      </c>
      <c r="B15" s="4" t="s">
        <v>19</v>
      </c>
      <c r="C15" s="4" t="s">
        <v>23</v>
      </c>
      <c r="D15" s="4">
        <v>1988</v>
      </c>
      <c r="E15" s="4">
        <v>4</v>
      </c>
      <c r="F15" s="4">
        <v>5</v>
      </c>
      <c r="G15" s="4">
        <v>5.5</v>
      </c>
      <c r="H15" s="4">
        <f t="shared" si="0"/>
        <v>4.7</v>
      </c>
      <c r="I15" s="4" t="str">
        <f t="shared" si="1"/>
        <v>Rớt</v>
      </c>
      <c r="J15" s="4">
        <f t="shared" si="2"/>
        <v>10</v>
      </c>
      <c r="K15" s="4">
        <f t="shared" si="3"/>
        <v>0</v>
      </c>
    </row>
    <row r="16" spans="1:11" x14ac:dyDescent="0.35">
      <c r="A16" s="4">
        <v>10</v>
      </c>
      <c r="B16" s="4" t="s">
        <v>20</v>
      </c>
      <c r="C16" s="4" t="s">
        <v>23</v>
      </c>
      <c r="D16" s="4">
        <v>1988</v>
      </c>
      <c r="E16" s="4">
        <v>4.5</v>
      </c>
      <c r="F16" s="4">
        <v>6</v>
      </c>
      <c r="G16" s="4">
        <v>4</v>
      </c>
      <c r="H16" s="4">
        <f t="shared" si="0"/>
        <v>5</v>
      </c>
      <c r="I16" s="4" t="str">
        <f t="shared" si="1"/>
        <v>Đạt</v>
      </c>
      <c r="J16" s="4">
        <f t="shared" si="2"/>
        <v>9</v>
      </c>
      <c r="K16" s="4">
        <f t="shared" si="3"/>
        <v>0</v>
      </c>
    </row>
    <row r="17" spans="1:11" x14ac:dyDescent="0.35">
      <c r="A17" s="4">
        <v>11</v>
      </c>
      <c r="B17" s="4" t="s">
        <v>21</v>
      </c>
      <c r="C17" s="4" t="s">
        <v>18</v>
      </c>
      <c r="D17" s="4">
        <v>1987</v>
      </c>
      <c r="E17" s="4">
        <v>3</v>
      </c>
      <c r="F17" s="4">
        <v>5</v>
      </c>
      <c r="G17" s="4">
        <v>5</v>
      </c>
      <c r="H17" s="4">
        <f t="shared" si="0"/>
        <v>4.2</v>
      </c>
      <c r="I17" s="4" t="str">
        <f t="shared" si="1"/>
        <v>Rớt</v>
      </c>
      <c r="J17" s="4">
        <f t="shared" si="2"/>
        <v>11</v>
      </c>
      <c r="K17" s="4">
        <f t="shared" si="3"/>
        <v>0</v>
      </c>
    </row>
    <row r="18" spans="1:11" x14ac:dyDescent="0.35">
      <c r="A18" s="4">
        <v>12</v>
      </c>
      <c r="B18" s="4" t="s">
        <v>22</v>
      </c>
      <c r="C18" s="4" t="s">
        <v>18</v>
      </c>
      <c r="D18" s="4">
        <v>1986</v>
      </c>
      <c r="E18" s="4">
        <v>4</v>
      </c>
      <c r="F18" s="4">
        <v>3</v>
      </c>
      <c r="G18" s="4">
        <v>5</v>
      </c>
      <c r="H18" s="4">
        <f t="shared" si="0"/>
        <v>3.8</v>
      </c>
      <c r="I18" s="4" t="str">
        <f t="shared" si="1"/>
        <v>Rớt</v>
      </c>
      <c r="J18" s="4">
        <f t="shared" si="2"/>
        <v>12</v>
      </c>
      <c r="K18" s="4">
        <f t="shared" si="3"/>
        <v>0</v>
      </c>
    </row>
    <row r="19" spans="1:11" s="7" customForma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5">
      <c r="A20" s="18" t="s">
        <v>25</v>
      </c>
      <c r="B20" s="18"/>
      <c r="C20" s="18"/>
      <c r="D20" s="18"/>
      <c r="E20" s="19">
        <f>AVERAGE(H7:H18)</f>
        <v>6.3250000000000002</v>
      </c>
      <c r="F20" s="19"/>
      <c r="G20" s="19"/>
      <c r="H20" s="19"/>
      <c r="I20" s="5"/>
      <c r="J20" s="5"/>
      <c r="K20" s="5"/>
    </row>
    <row r="21" spans="1:11" x14ac:dyDescent="0.35">
      <c r="A21" s="18" t="s">
        <v>26</v>
      </c>
      <c r="B21" s="18"/>
      <c r="C21" s="18"/>
      <c r="D21" s="18"/>
      <c r="E21" s="19">
        <f>MAX(H7:H18)</f>
        <v>9</v>
      </c>
      <c r="F21" s="19"/>
      <c r="G21" s="19"/>
      <c r="H21" s="19"/>
      <c r="I21" s="5"/>
      <c r="J21" s="5"/>
      <c r="K21" s="5"/>
    </row>
    <row r="22" spans="1:11" x14ac:dyDescent="0.35">
      <c r="A22" s="18" t="s">
        <v>27</v>
      </c>
      <c r="B22" s="18"/>
      <c r="C22" s="18"/>
      <c r="D22" s="18"/>
      <c r="E22" s="19">
        <f>MIN(H7:H18)</f>
        <v>3.8</v>
      </c>
      <c r="F22" s="19"/>
      <c r="G22" s="19"/>
      <c r="H22" s="19"/>
      <c r="I22" s="5"/>
      <c r="J22" s="5"/>
      <c r="K22" s="5"/>
    </row>
  </sheetData>
  <mergeCells count="18">
    <mergeCell ref="H5:H6"/>
    <mergeCell ref="I5:I6"/>
    <mergeCell ref="J5:J6"/>
    <mergeCell ref="K5:K6"/>
    <mergeCell ref="A3:K4"/>
    <mergeCell ref="A5:A6"/>
    <mergeCell ref="B5:B6"/>
    <mergeCell ref="C5:C6"/>
    <mergeCell ref="D5:D6"/>
    <mergeCell ref="E5:E6"/>
    <mergeCell ref="F5:F6"/>
    <mergeCell ref="G5:G6"/>
    <mergeCell ref="A21:D21"/>
    <mergeCell ref="A22:D22"/>
    <mergeCell ref="E20:H20"/>
    <mergeCell ref="E21:H21"/>
    <mergeCell ref="E22:H22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EC27-8BA4-475D-B40B-1F60AD3071C6}">
  <sheetPr codeName="Sheet2"/>
  <dimension ref="A1:H13"/>
  <sheetViews>
    <sheetView workbookViewId="0">
      <selection activeCell="E17" sqref="E17"/>
    </sheetView>
  </sheetViews>
  <sheetFormatPr defaultRowHeight="14.5" x14ac:dyDescent="0.35"/>
  <cols>
    <col min="2" max="2" width="10.453125" customWidth="1"/>
    <col min="5" max="5" width="11.26953125" customWidth="1"/>
    <col min="6" max="6" width="13" customWidth="1"/>
    <col min="7" max="7" width="11" customWidth="1"/>
    <col min="8" max="8" width="10.54296875" customWidth="1"/>
  </cols>
  <sheetData>
    <row r="1" spans="1:8" x14ac:dyDescent="0.35">
      <c r="A1" t="s">
        <v>28</v>
      </c>
    </row>
    <row r="4" spans="1:8" x14ac:dyDescent="0.35">
      <c r="A4" s="21" t="s">
        <v>29</v>
      </c>
      <c r="B4" s="21"/>
      <c r="C4" s="21"/>
      <c r="D4" s="21"/>
      <c r="E4" s="21"/>
      <c r="F4" s="21"/>
      <c r="G4" s="21"/>
      <c r="H4" s="21"/>
    </row>
    <row r="5" spans="1:8" x14ac:dyDescent="0.35">
      <c r="A5" s="21"/>
      <c r="B5" s="21"/>
      <c r="C5" s="21"/>
      <c r="D5" s="21"/>
      <c r="E5" s="21"/>
      <c r="F5" s="21"/>
      <c r="G5" s="21"/>
      <c r="H5" s="21"/>
    </row>
    <row r="6" spans="1:8" x14ac:dyDescent="0.35">
      <c r="A6" s="21" t="s">
        <v>1</v>
      </c>
      <c r="B6" s="21" t="s">
        <v>30</v>
      </c>
      <c r="C6" s="21" t="s">
        <v>31</v>
      </c>
      <c r="D6" s="21" t="s">
        <v>3</v>
      </c>
      <c r="E6" s="21" t="s">
        <v>32</v>
      </c>
      <c r="F6" s="21" t="s">
        <v>33</v>
      </c>
      <c r="G6" s="21" t="s">
        <v>34</v>
      </c>
      <c r="H6" s="21" t="s">
        <v>48</v>
      </c>
    </row>
    <row r="7" spans="1:8" x14ac:dyDescent="0.35">
      <c r="A7" s="21"/>
      <c r="B7" s="21"/>
      <c r="C7" s="21"/>
      <c r="D7" s="21"/>
      <c r="E7" s="21"/>
      <c r="F7" s="21"/>
      <c r="G7" s="21"/>
      <c r="H7" s="21"/>
    </row>
    <row r="8" spans="1:8" x14ac:dyDescent="0.35">
      <c r="A8" s="2">
        <v>1</v>
      </c>
      <c r="B8" s="2" t="s">
        <v>35</v>
      </c>
      <c r="C8" s="2" t="s">
        <v>41</v>
      </c>
      <c r="D8" s="2" t="s">
        <v>45</v>
      </c>
      <c r="E8" s="4">
        <v>25</v>
      </c>
      <c r="F8" s="4" cm="1">
        <f t="array" ref="F8:F13">IF(D8:D13="NỮ",200000,0)</f>
        <v>0</v>
      </c>
      <c r="G8" s="4" cm="1">
        <f t="array" ref="G8:G13">IF(E8:E13&gt;=24,300000,0)</f>
        <v>300000</v>
      </c>
      <c r="H8" s="4">
        <f>IF(OR(AND(D8="NAM",E8&gt;26),AND(D8="NỮ",E8&gt;25)),100000,0)</f>
        <v>0</v>
      </c>
    </row>
    <row r="9" spans="1:8" x14ac:dyDescent="0.35">
      <c r="A9" s="2">
        <v>2</v>
      </c>
      <c r="B9" s="2" t="s">
        <v>36</v>
      </c>
      <c r="C9" s="2" t="s">
        <v>42</v>
      </c>
      <c r="D9" s="2" t="s">
        <v>45</v>
      </c>
      <c r="E9" s="4">
        <v>24</v>
      </c>
      <c r="F9" s="4">
        <v>0</v>
      </c>
      <c r="G9" s="4">
        <v>300000</v>
      </c>
      <c r="H9" s="4">
        <f t="shared" ref="H9:H13" si="0">IF(OR(AND(D9="NAM",E9&gt;26),AND(D9="NỮ",E9&gt;25)),100000,0)</f>
        <v>0</v>
      </c>
    </row>
    <row r="10" spans="1:8" x14ac:dyDescent="0.35">
      <c r="A10" s="2">
        <v>3</v>
      </c>
      <c r="B10" s="2" t="s">
        <v>37</v>
      </c>
      <c r="C10" s="2" t="s">
        <v>43</v>
      </c>
      <c r="D10" s="2" t="s">
        <v>47</v>
      </c>
      <c r="E10" s="4">
        <v>26</v>
      </c>
      <c r="F10" s="4">
        <v>200000</v>
      </c>
      <c r="G10" s="4">
        <v>300000</v>
      </c>
      <c r="H10" s="4">
        <f t="shared" si="0"/>
        <v>100000</v>
      </c>
    </row>
    <row r="11" spans="1:8" x14ac:dyDescent="0.35">
      <c r="A11" s="2">
        <v>4</v>
      </c>
      <c r="B11" s="2" t="s">
        <v>38</v>
      </c>
      <c r="C11" s="2" t="s">
        <v>44</v>
      </c>
      <c r="D11" s="2" t="s">
        <v>47</v>
      </c>
      <c r="E11" s="4">
        <v>22</v>
      </c>
      <c r="F11" s="4">
        <v>200000</v>
      </c>
      <c r="G11" s="4">
        <v>0</v>
      </c>
      <c r="H11" s="4">
        <f t="shared" si="0"/>
        <v>0</v>
      </c>
    </row>
    <row r="12" spans="1:8" x14ac:dyDescent="0.35">
      <c r="A12" s="2">
        <v>5</v>
      </c>
      <c r="B12" s="2" t="s">
        <v>39</v>
      </c>
      <c r="C12" s="2" t="s">
        <v>45</v>
      </c>
      <c r="D12" s="2" t="s">
        <v>45</v>
      </c>
      <c r="E12" s="4">
        <v>27</v>
      </c>
      <c r="F12" s="4">
        <v>0</v>
      </c>
      <c r="G12" s="4">
        <v>300000</v>
      </c>
      <c r="H12" s="4">
        <f t="shared" si="0"/>
        <v>100000</v>
      </c>
    </row>
    <row r="13" spans="1:8" x14ac:dyDescent="0.35">
      <c r="A13" s="2">
        <v>6</v>
      </c>
      <c r="B13" s="2" t="s">
        <v>40</v>
      </c>
      <c r="C13" s="2" t="s">
        <v>46</v>
      </c>
      <c r="D13" s="2" t="s">
        <v>47</v>
      </c>
      <c r="E13" s="4">
        <v>25</v>
      </c>
      <c r="F13" s="4">
        <v>200000</v>
      </c>
      <c r="G13" s="4">
        <v>300000</v>
      </c>
      <c r="H13" s="4">
        <f t="shared" si="0"/>
        <v>0</v>
      </c>
    </row>
  </sheetData>
  <mergeCells count="9">
    <mergeCell ref="H6:H7"/>
    <mergeCell ref="A4:H5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6E8E-1A85-4787-AEFB-78F047EA552E}">
  <sheetPr codeName="Sheet3"/>
  <dimension ref="A1:J22"/>
  <sheetViews>
    <sheetView workbookViewId="0">
      <selection activeCell="J21" sqref="J21"/>
    </sheetView>
  </sheetViews>
  <sheetFormatPr defaultRowHeight="14.5" x14ac:dyDescent="0.35"/>
  <cols>
    <col min="2" max="2" width="16.36328125" customWidth="1"/>
    <col min="3" max="3" width="10" customWidth="1"/>
    <col min="4" max="4" width="9.7265625" customWidth="1"/>
    <col min="5" max="5" width="9.1796875" customWidth="1"/>
    <col min="9" max="9" width="9.81640625" bestFit="1" customWidth="1"/>
    <col min="10" max="10" width="11.81640625" bestFit="1" customWidth="1"/>
  </cols>
  <sheetData>
    <row r="1" spans="1:10" s="7" customFormat="1" x14ac:dyDescent="0.35">
      <c r="A1" s="7" t="s">
        <v>123</v>
      </c>
    </row>
    <row r="2" spans="1:10" s="7" customFormat="1" ht="15" thickBot="1" x14ac:dyDescent="0.4"/>
    <row r="3" spans="1:10" x14ac:dyDescent="0.35">
      <c r="A3" s="9" t="s">
        <v>1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89</v>
      </c>
      <c r="J3" s="11" t="s">
        <v>90</v>
      </c>
    </row>
    <row r="4" spans="1:10" x14ac:dyDescent="0.35">
      <c r="A4" s="12">
        <v>1</v>
      </c>
      <c r="B4" s="6" t="s">
        <v>56</v>
      </c>
      <c r="C4" s="6" t="s">
        <v>71</v>
      </c>
      <c r="D4" s="13">
        <v>24505</v>
      </c>
      <c r="E4" s="6">
        <v>12000</v>
      </c>
      <c r="F4" s="6">
        <v>25</v>
      </c>
      <c r="G4" s="6">
        <f>E4*F4</f>
        <v>300000</v>
      </c>
      <c r="H4" s="6">
        <f>G4*80%</f>
        <v>240000</v>
      </c>
      <c r="I4" s="6" cm="1">
        <f t="array" ref="I4:I18">IF(C4:C18="GD",500000,IF(C4:C18="PGĐ",400000,IF(C4:C18="TP",200000,IF(C4:C18="PP",200000,100000))))</f>
        <v>200000</v>
      </c>
      <c r="J4" s="14">
        <f>G4+I4-H4</f>
        <v>260000</v>
      </c>
    </row>
    <row r="5" spans="1:10" x14ac:dyDescent="0.35">
      <c r="A5" s="12">
        <v>2</v>
      </c>
      <c r="B5" s="6" t="s">
        <v>57</v>
      </c>
      <c r="C5" s="6" t="s">
        <v>72</v>
      </c>
      <c r="D5" s="6" t="s">
        <v>78</v>
      </c>
      <c r="E5" s="6">
        <v>16000</v>
      </c>
      <c r="F5" s="6">
        <v>24</v>
      </c>
      <c r="G5" s="6">
        <f t="shared" ref="G5:G18" si="0">E5*F5</f>
        <v>384000</v>
      </c>
      <c r="H5" s="6">
        <f t="shared" ref="H5:H19" si="1">G5*80%</f>
        <v>307200</v>
      </c>
      <c r="I5" s="6">
        <v>100000</v>
      </c>
      <c r="J5" s="14">
        <f t="shared" ref="J5:J18" si="2">G5+I5-H5</f>
        <v>176800</v>
      </c>
    </row>
    <row r="6" spans="1:10" x14ac:dyDescent="0.35">
      <c r="A6" s="12">
        <v>3</v>
      </c>
      <c r="B6" s="6" t="s">
        <v>58</v>
      </c>
      <c r="C6" s="6" t="s">
        <v>73</v>
      </c>
      <c r="D6" s="6" t="s">
        <v>79</v>
      </c>
      <c r="E6" s="6">
        <v>15000</v>
      </c>
      <c r="F6" s="6">
        <v>26</v>
      </c>
      <c r="G6" s="6">
        <f t="shared" si="0"/>
        <v>390000</v>
      </c>
      <c r="H6" s="6">
        <f t="shared" si="1"/>
        <v>312000</v>
      </c>
      <c r="I6" s="6">
        <v>200000</v>
      </c>
      <c r="J6" s="14">
        <f t="shared" si="2"/>
        <v>278000</v>
      </c>
    </row>
    <row r="7" spans="1:10" x14ac:dyDescent="0.35">
      <c r="A7" s="12">
        <v>4</v>
      </c>
      <c r="B7" s="6" t="s">
        <v>59</v>
      </c>
      <c r="C7" s="6" t="s">
        <v>72</v>
      </c>
      <c r="D7" s="6" t="s">
        <v>80</v>
      </c>
      <c r="E7" s="6">
        <v>13000</v>
      </c>
      <c r="F7" s="6">
        <v>20</v>
      </c>
      <c r="G7" s="6">
        <f t="shared" si="0"/>
        <v>260000</v>
      </c>
      <c r="H7" s="6">
        <f t="shared" si="1"/>
        <v>208000</v>
      </c>
      <c r="I7" s="6">
        <v>100000</v>
      </c>
      <c r="J7" s="14">
        <f t="shared" si="2"/>
        <v>152000</v>
      </c>
    </row>
    <row r="8" spans="1:10" x14ac:dyDescent="0.35">
      <c r="A8" s="12">
        <v>5</v>
      </c>
      <c r="B8" s="6" t="s">
        <v>60</v>
      </c>
      <c r="C8" s="6" t="s">
        <v>74</v>
      </c>
      <c r="D8" s="6" t="s">
        <v>81</v>
      </c>
      <c r="E8" s="6">
        <v>18000</v>
      </c>
      <c r="F8" s="6">
        <v>23</v>
      </c>
      <c r="G8" s="6">
        <f t="shared" si="0"/>
        <v>414000</v>
      </c>
      <c r="H8" s="6">
        <f t="shared" si="1"/>
        <v>331200</v>
      </c>
      <c r="I8" s="6">
        <v>100000</v>
      </c>
      <c r="J8" s="14">
        <f t="shared" si="2"/>
        <v>182800</v>
      </c>
    </row>
    <row r="9" spans="1:10" x14ac:dyDescent="0.35">
      <c r="A9" s="12">
        <v>6</v>
      </c>
      <c r="B9" s="6" t="s">
        <v>61</v>
      </c>
      <c r="C9" s="6" t="s">
        <v>75</v>
      </c>
      <c r="D9" s="6" t="s">
        <v>82</v>
      </c>
      <c r="E9" s="6">
        <v>15000</v>
      </c>
      <c r="F9" s="6">
        <v>24</v>
      </c>
      <c r="G9" s="6">
        <f t="shared" si="0"/>
        <v>360000</v>
      </c>
      <c r="H9" s="6">
        <f t="shared" si="1"/>
        <v>288000</v>
      </c>
      <c r="I9" s="6">
        <v>100000</v>
      </c>
      <c r="J9" s="14">
        <f t="shared" si="2"/>
        <v>172000</v>
      </c>
    </row>
    <row r="10" spans="1:10" x14ac:dyDescent="0.35">
      <c r="A10" s="12">
        <v>7</v>
      </c>
      <c r="B10" s="6" t="s">
        <v>62</v>
      </c>
      <c r="C10" s="6" t="s">
        <v>73</v>
      </c>
      <c r="D10" s="6" t="s">
        <v>83</v>
      </c>
      <c r="E10" s="6">
        <v>14000</v>
      </c>
      <c r="F10" s="6">
        <v>27</v>
      </c>
      <c r="G10" s="6">
        <f t="shared" si="0"/>
        <v>378000</v>
      </c>
      <c r="H10" s="6">
        <f t="shared" si="1"/>
        <v>302400</v>
      </c>
      <c r="I10" s="6">
        <v>200000</v>
      </c>
      <c r="J10" s="14">
        <f t="shared" si="2"/>
        <v>275600</v>
      </c>
    </row>
    <row r="11" spans="1:10" x14ac:dyDescent="0.35">
      <c r="A11" s="12">
        <v>8</v>
      </c>
      <c r="B11" s="6" t="s">
        <v>63</v>
      </c>
      <c r="C11" s="6" t="s">
        <v>76</v>
      </c>
      <c r="D11" s="13">
        <v>20648</v>
      </c>
      <c r="E11" s="6">
        <v>16000</v>
      </c>
      <c r="F11" s="6">
        <v>14</v>
      </c>
      <c r="G11" s="6">
        <f t="shared" si="0"/>
        <v>224000</v>
      </c>
      <c r="H11" s="6">
        <f t="shared" si="1"/>
        <v>179200</v>
      </c>
      <c r="I11" s="6">
        <v>100000</v>
      </c>
      <c r="J11" s="14">
        <f t="shared" si="2"/>
        <v>144800</v>
      </c>
    </row>
    <row r="12" spans="1:10" x14ac:dyDescent="0.35">
      <c r="A12" s="12">
        <v>9</v>
      </c>
      <c r="B12" s="6" t="s">
        <v>64</v>
      </c>
      <c r="C12" s="6" t="s">
        <v>75</v>
      </c>
      <c r="D12" s="13">
        <v>22046</v>
      </c>
      <c r="E12" s="6">
        <v>15000</v>
      </c>
      <c r="F12" s="6">
        <v>17</v>
      </c>
      <c r="G12" s="6">
        <f t="shared" si="0"/>
        <v>255000</v>
      </c>
      <c r="H12" s="6">
        <f t="shared" si="1"/>
        <v>204000</v>
      </c>
      <c r="I12" s="6">
        <v>100000</v>
      </c>
      <c r="J12" s="14">
        <f t="shared" si="2"/>
        <v>151000</v>
      </c>
    </row>
    <row r="13" spans="1:10" x14ac:dyDescent="0.35">
      <c r="A13" s="12">
        <v>10</v>
      </c>
      <c r="B13" s="6" t="s">
        <v>67</v>
      </c>
      <c r="C13" s="6" t="s">
        <v>72</v>
      </c>
      <c r="D13" s="6" t="s">
        <v>84</v>
      </c>
      <c r="E13" s="6">
        <v>13000</v>
      </c>
      <c r="F13" s="6">
        <v>23</v>
      </c>
      <c r="G13" s="6">
        <f t="shared" si="0"/>
        <v>299000</v>
      </c>
      <c r="H13" s="6">
        <f t="shared" si="1"/>
        <v>239200</v>
      </c>
      <c r="I13" s="6">
        <v>100000</v>
      </c>
      <c r="J13" s="14">
        <f t="shared" si="2"/>
        <v>159800</v>
      </c>
    </row>
    <row r="14" spans="1:10" x14ac:dyDescent="0.35">
      <c r="A14" s="12">
        <v>11</v>
      </c>
      <c r="B14" s="6" t="s">
        <v>66</v>
      </c>
      <c r="C14" s="6" t="s">
        <v>71</v>
      </c>
      <c r="D14" s="6" t="s">
        <v>85</v>
      </c>
      <c r="E14" s="6">
        <v>18000</v>
      </c>
      <c r="F14" s="6">
        <v>22</v>
      </c>
      <c r="G14" s="6">
        <f t="shared" si="0"/>
        <v>396000</v>
      </c>
      <c r="H14" s="6">
        <f t="shared" si="1"/>
        <v>316800</v>
      </c>
      <c r="I14" s="6">
        <v>200000</v>
      </c>
      <c r="J14" s="14">
        <f t="shared" si="2"/>
        <v>279200</v>
      </c>
    </row>
    <row r="15" spans="1:10" x14ac:dyDescent="0.35">
      <c r="A15" s="12">
        <v>12</v>
      </c>
      <c r="B15" s="6" t="s">
        <v>65</v>
      </c>
      <c r="C15" s="6" t="s">
        <v>72</v>
      </c>
      <c r="D15" s="6" t="s">
        <v>86</v>
      </c>
      <c r="E15" s="6">
        <v>15000</v>
      </c>
      <c r="F15" s="6">
        <v>14</v>
      </c>
      <c r="G15" s="6">
        <f t="shared" si="0"/>
        <v>210000</v>
      </c>
      <c r="H15" s="6">
        <f t="shared" si="1"/>
        <v>168000</v>
      </c>
      <c r="I15" s="6">
        <v>100000</v>
      </c>
      <c r="J15" s="14">
        <f t="shared" si="2"/>
        <v>142000</v>
      </c>
    </row>
    <row r="16" spans="1:10" x14ac:dyDescent="0.35">
      <c r="A16" s="12">
        <v>13</v>
      </c>
      <c r="B16" s="6" t="s">
        <v>68</v>
      </c>
      <c r="C16" s="6" t="s">
        <v>77</v>
      </c>
      <c r="D16" s="13">
        <v>21467</v>
      </c>
      <c r="E16" s="6">
        <v>18000</v>
      </c>
      <c r="F16" s="6">
        <v>23</v>
      </c>
      <c r="G16" s="6">
        <f t="shared" si="0"/>
        <v>414000</v>
      </c>
      <c r="H16" s="6">
        <f t="shared" si="1"/>
        <v>331200</v>
      </c>
      <c r="I16" s="6">
        <v>400000</v>
      </c>
      <c r="J16" s="14">
        <f t="shared" si="2"/>
        <v>482800</v>
      </c>
    </row>
    <row r="17" spans="1:10" x14ac:dyDescent="0.35">
      <c r="A17" s="12">
        <v>14</v>
      </c>
      <c r="B17" s="6" t="s">
        <v>69</v>
      </c>
      <c r="C17" s="6" t="s">
        <v>71</v>
      </c>
      <c r="D17" s="6" t="s">
        <v>87</v>
      </c>
      <c r="E17" s="6">
        <v>16000</v>
      </c>
      <c r="F17" s="6">
        <v>27</v>
      </c>
      <c r="G17" s="6">
        <f t="shared" si="0"/>
        <v>432000</v>
      </c>
      <c r="H17" s="6">
        <f t="shared" si="1"/>
        <v>345600</v>
      </c>
      <c r="I17" s="6">
        <v>200000</v>
      </c>
      <c r="J17" s="14">
        <f t="shared" si="2"/>
        <v>286400</v>
      </c>
    </row>
    <row r="18" spans="1:10" x14ac:dyDescent="0.35">
      <c r="A18" s="12">
        <v>15</v>
      </c>
      <c r="B18" s="6" t="s">
        <v>70</v>
      </c>
      <c r="C18" s="6" t="s">
        <v>75</v>
      </c>
      <c r="D18" s="6" t="s">
        <v>88</v>
      </c>
      <c r="E18" s="6">
        <v>13000</v>
      </c>
      <c r="F18" s="6">
        <v>26</v>
      </c>
      <c r="G18" s="6">
        <f t="shared" si="0"/>
        <v>338000</v>
      </c>
      <c r="H18" s="6">
        <f t="shared" si="1"/>
        <v>270400</v>
      </c>
      <c r="I18" s="6">
        <v>100000</v>
      </c>
      <c r="J18" s="14">
        <f t="shared" si="2"/>
        <v>167600</v>
      </c>
    </row>
    <row r="19" spans="1:10" x14ac:dyDescent="0.35">
      <c r="A19" s="12"/>
      <c r="B19" s="18" t="s">
        <v>91</v>
      </c>
      <c r="C19" s="18"/>
      <c r="D19" s="18"/>
      <c r="E19" s="18"/>
      <c r="F19" s="18"/>
      <c r="G19" s="6">
        <f>SUM(J4:J18)</f>
        <v>3310800</v>
      </c>
      <c r="H19" s="6">
        <f t="shared" si="1"/>
        <v>2648640</v>
      </c>
      <c r="I19" s="6">
        <f>H19*80%</f>
        <v>2118912</v>
      </c>
      <c r="J19" s="14">
        <f>I19*80%</f>
        <v>1695129.6000000001</v>
      </c>
    </row>
    <row r="20" spans="1:10" x14ac:dyDescent="0.35">
      <c r="A20" s="12"/>
      <c r="B20" s="18" t="s">
        <v>92</v>
      </c>
      <c r="C20" s="18"/>
      <c r="D20" s="18"/>
      <c r="E20" s="18"/>
      <c r="F20" s="18"/>
      <c r="G20" s="6">
        <f>AVERAGE(G4:G18)</f>
        <v>336933.33333333331</v>
      </c>
      <c r="H20" s="6">
        <f t="shared" ref="H20:J20" si="3">AVERAGE(H4:H18)</f>
        <v>269546.66666666669</v>
      </c>
      <c r="I20" s="6">
        <f t="shared" si="3"/>
        <v>153333.33333333334</v>
      </c>
      <c r="J20" s="14">
        <f t="shared" si="3"/>
        <v>220720</v>
      </c>
    </row>
    <row r="21" spans="1:10" x14ac:dyDescent="0.35">
      <c r="A21" s="12"/>
      <c r="B21" s="18" t="s">
        <v>93</v>
      </c>
      <c r="C21" s="18"/>
      <c r="D21" s="18"/>
      <c r="E21" s="18"/>
      <c r="F21" s="18"/>
      <c r="G21" s="6">
        <f>MAX(G4:G18)</f>
        <v>432000</v>
      </c>
      <c r="H21" s="6">
        <f t="shared" ref="H21:J21" si="4">MAX(H4:H18)</f>
        <v>345600</v>
      </c>
      <c r="I21" s="6">
        <f t="shared" si="4"/>
        <v>400000</v>
      </c>
      <c r="J21" s="14">
        <f t="shared" si="4"/>
        <v>482800</v>
      </c>
    </row>
    <row r="22" spans="1:10" ht="15" thickBot="1" x14ac:dyDescent="0.4">
      <c r="A22" s="15"/>
      <c r="B22" s="23" t="s">
        <v>94</v>
      </c>
      <c r="C22" s="23"/>
      <c r="D22" s="23"/>
      <c r="E22" s="23"/>
      <c r="F22" s="23"/>
      <c r="G22" s="16">
        <f>MIN(G4:G18)</f>
        <v>210000</v>
      </c>
      <c r="H22" s="16">
        <f t="shared" ref="H22:J22" si="5">MIN(H4:H18)</f>
        <v>168000</v>
      </c>
      <c r="I22" s="16">
        <f t="shared" si="5"/>
        <v>100000</v>
      </c>
      <c r="J22" s="17">
        <f t="shared" si="5"/>
        <v>142000</v>
      </c>
    </row>
  </sheetData>
  <mergeCells count="4">
    <mergeCell ref="B19:F19"/>
    <mergeCell ref="B20:F20"/>
    <mergeCell ref="B21:F21"/>
    <mergeCell ref="B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46A4-0255-4A17-A031-C9DCE85F3669}">
  <dimension ref="A1:J23"/>
  <sheetViews>
    <sheetView tabSelected="1" workbookViewId="0">
      <selection activeCell="F15" sqref="F15"/>
    </sheetView>
  </sheetViews>
  <sheetFormatPr defaultRowHeight="14.5" x14ac:dyDescent="0.35"/>
  <cols>
    <col min="2" max="2" width="20.26953125" customWidth="1"/>
    <col min="3" max="3" width="16.453125" customWidth="1"/>
    <col min="6" max="6" width="10.1796875" customWidth="1"/>
  </cols>
  <sheetData>
    <row r="1" spans="1:10" s="7" customFormat="1" x14ac:dyDescent="0.35">
      <c r="A1" s="7" t="s">
        <v>122</v>
      </c>
    </row>
    <row r="2" spans="1:10" s="7" customFormat="1" x14ac:dyDescent="0.35"/>
    <row r="3" spans="1:10" s="7" customFormat="1" x14ac:dyDescent="0.35">
      <c r="A3" s="21" t="s">
        <v>120</v>
      </c>
      <c r="B3" s="21" t="s">
        <v>95</v>
      </c>
      <c r="C3" s="21" t="s">
        <v>103</v>
      </c>
      <c r="D3" s="21" t="s">
        <v>96</v>
      </c>
      <c r="E3" s="21" t="s">
        <v>97</v>
      </c>
      <c r="F3" s="21" t="s">
        <v>98</v>
      </c>
      <c r="G3" s="21" t="s">
        <v>99</v>
      </c>
      <c r="H3" s="21" t="s">
        <v>100</v>
      </c>
      <c r="I3" s="21" t="s">
        <v>101</v>
      </c>
      <c r="J3" s="21" t="s">
        <v>102</v>
      </c>
    </row>
    <row r="4" spans="1:10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35">
      <c r="A5" s="3">
        <v>1</v>
      </c>
      <c r="B5" s="3" t="s">
        <v>114</v>
      </c>
      <c r="C5" s="3" t="str" cm="1">
        <f t="array" ref="C5:C12">VLOOKUP(LEFT(B5:B12,2),$A$19:$E$23,2,0)</f>
        <v>Máy lạnh Panasonic</v>
      </c>
      <c r="D5" s="3">
        <f>VLOOKUP(LEFT(B5,2),$A$20:$E$23,3,0)</f>
        <v>300</v>
      </c>
      <c r="E5" s="3">
        <f>VLOOKUP(LEFT(B5,2),$A$20:$E$23,4,0)</f>
        <v>130</v>
      </c>
      <c r="F5" s="3">
        <f>D5*E5</f>
        <v>39000</v>
      </c>
      <c r="G5" s="3">
        <f>IF(MID(B5,4,1)="A",D5+15,IF(MID(B3,4,1)="B",D5+12,D5+10))</f>
        <v>310</v>
      </c>
      <c r="H5" s="3">
        <f>VLOOKUP(LEFT(B5,2),$A$20:$E$23,5,0)</f>
        <v>100</v>
      </c>
      <c r="I5" s="3">
        <f>G5*H5</f>
        <v>31000</v>
      </c>
      <c r="J5" s="3" t="str">
        <f>IF(I5&gt;=20000,"Bán chạy","Bán chậm")</f>
        <v>Bán chạy</v>
      </c>
    </row>
    <row r="6" spans="1:10" x14ac:dyDescent="0.35">
      <c r="A6" s="3">
        <v>2</v>
      </c>
      <c r="B6" s="3" t="s">
        <v>115</v>
      </c>
      <c r="C6" s="3" t="str">
        <v>Máy lạnh Panasonic</v>
      </c>
      <c r="D6" s="3">
        <f t="shared" ref="D6:D13" si="0">VLOOKUP(LEFT(B6,2),$A$20:$E$23,3,0)</f>
        <v>300</v>
      </c>
      <c r="E6" s="3">
        <f t="shared" ref="E6:E13" si="1">VLOOKUP(LEFT(B6,2),$A$20:$E$23,4,0)</f>
        <v>130</v>
      </c>
      <c r="F6" s="3">
        <f t="shared" ref="F6:F13" si="2">D6*E6</f>
        <v>39000</v>
      </c>
      <c r="G6" s="3">
        <f t="shared" ref="G6:G12" si="3">IF(MID(B6,4,1)="A",D6+15,IF(MID(B5,4,1)="B",D6+12,D6+10))</f>
        <v>310</v>
      </c>
      <c r="H6" s="3">
        <f t="shared" ref="H6:H13" si="4">VLOOKUP(LEFT(B6,2),$A$20:$E$23,5,0)</f>
        <v>100</v>
      </c>
      <c r="I6" s="3">
        <f t="shared" ref="I6:I12" si="5">G6*H6</f>
        <v>31000</v>
      </c>
      <c r="J6" s="3" t="str">
        <f t="shared" ref="J6:J12" si="6">IF(I6&gt;=20000,"Bán chạy","Bán chậm")</f>
        <v>Bán chạy</v>
      </c>
    </row>
    <row r="7" spans="1:10" x14ac:dyDescent="0.35">
      <c r="A7" s="3">
        <v>3</v>
      </c>
      <c r="B7" s="3" t="s">
        <v>116</v>
      </c>
      <c r="C7" s="3" t="str">
        <v>Máy lạnh Sanyo</v>
      </c>
      <c r="D7" s="3">
        <f t="shared" si="0"/>
        <v>210</v>
      </c>
      <c r="E7" s="3">
        <f t="shared" si="1"/>
        <v>126</v>
      </c>
      <c r="F7" s="3">
        <f t="shared" si="2"/>
        <v>26460</v>
      </c>
      <c r="G7" s="3">
        <f t="shared" si="3"/>
        <v>220</v>
      </c>
      <c r="H7" s="3">
        <f t="shared" si="4"/>
        <v>85</v>
      </c>
      <c r="I7" s="3">
        <f t="shared" si="5"/>
        <v>18700</v>
      </c>
      <c r="J7" s="3" t="str">
        <f t="shared" si="6"/>
        <v>Bán chậm</v>
      </c>
    </row>
    <row r="8" spans="1:10" x14ac:dyDescent="0.35">
      <c r="A8" s="3">
        <v>4</v>
      </c>
      <c r="B8" s="3" t="s">
        <v>117</v>
      </c>
      <c r="C8" s="3" t="str">
        <v>Máy lạnh Toshiba</v>
      </c>
      <c r="D8" s="3">
        <f t="shared" si="0"/>
        <v>250</v>
      </c>
      <c r="E8" s="3">
        <f t="shared" si="1"/>
        <v>90</v>
      </c>
      <c r="F8" s="3">
        <f t="shared" si="2"/>
        <v>22500</v>
      </c>
      <c r="G8" s="3">
        <f t="shared" si="3"/>
        <v>260</v>
      </c>
      <c r="H8" s="3">
        <f t="shared" si="4"/>
        <v>60</v>
      </c>
      <c r="I8" s="3">
        <f t="shared" si="5"/>
        <v>15600</v>
      </c>
      <c r="J8" s="3" t="str">
        <f t="shared" si="6"/>
        <v>Bán chậm</v>
      </c>
    </row>
    <row r="9" spans="1:10" x14ac:dyDescent="0.35">
      <c r="A9" s="3">
        <v>5</v>
      </c>
      <c r="B9" s="3" t="s">
        <v>112</v>
      </c>
      <c r="C9" s="3" t="str">
        <v>Máy lạnh Hitachi</v>
      </c>
      <c r="D9" s="3">
        <f t="shared" si="0"/>
        <v>220</v>
      </c>
      <c r="E9" s="3">
        <f t="shared" si="1"/>
        <v>70</v>
      </c>
      <c r="F9" s="3">
        <f t="shared" si="2"/>
        <v>15400</v>
      </c>
      <c r="G9" s="3">
        <f t="shared" si="3"/>
        <v>230</v>
      </c>
      <c r="H9" s="3">
        <f t="shared" si="4"/>
        <v>50</v>
      </c>
      <c r="I9" s="3">
        <f t="shared" si="5"/>
        <v>11500</v>
      </c>
      <c r="J9" s="3" t="str">
        <f t="shared" si="6"/>
        <v>Bán chậm</v>
      </c>
    </row>
    <row r="10" spans="1:10" x14ac:dyDescent="0.35">
      <c r="A10" s="3">
        <v>6</v>
      </c>
      <c r="B10" s="3" t="s">
        <v>113</v>
      </c>
      <c r="C10" s="3" t="str">
        <v>Máy lạnh Hitachi</v>
      </c>
      <c r="D10" s="3">
        <f t="shared" si="0"/>
        <v>220</v>
      </c>
      <c r="E10" s="3">
        <f t="shared" si="1"/>
        <v>70</v>
      </c>
      <c r="F10" s="3">
        <f t="shared" si="2"/>
        <v>15400</v>
      </c>
      <c r="G10" s="3">
        <f t="shared" si="3"/>
        <v>230</v>
      </c>
      <c r="H10" s="3">
        <f t="shared" si="4"/>
        <v>50</v>
      </c>
      <c r="I10" s="3">
        <f t="shared" si="5"/>
        <v>11500</v>
      </c>
      <c r="J10" s="3" t="str">
        <f t="shared" si="6"/>
        <v>Bán chậm</v>
      </c>
    </row>
    <row r="11" spans="1:10" x14ac:dyDescent="0.35">
      <c r="A11" s="3">
        <v>7</v>
      </c>
      <c r="B11" s="3" t="s">
        <v>118</v>
      </c>
      <c r="C11" s="3" t="str">
        <v>Máy lạnh Toshiba</v>
      </c>
      <c r="D11" s="3">
        <f t="shared" si="0"/>
        <v>250</v>
      </c>
      <c r="E11" s="3">
        <f t="shared" si="1"/>
        <v>90</v>
      </c>
      <c r="F11" s="3">
        <f t="shared" si="2"/>
        <v>22500</v>
      </c>
      <c r="G11" s="3">
        <f t="shared" si="3"/>
        <v>260</v>
      </c>
      <c r="H11" s="3">
        <f t="shared" si="4"/>
        <v>60</v>
      </c>
      <c r="I11" s="3">
        <f t="shared" si="5"/>
        <v>15600</v>
      </c>
      <c r="J11" s="3" t="str">
        <f t="shared" si="6"/>
        <v>Bán chậm</v>
      </c>
    </row>
    <row r="12" spans="1:10" x14ac:dyDescent="0.35">
      <c r="A12" s="3">
        <v>8</v>
      </c>
      <c r="B12" s="3" t="s">
        <v>119</v>
      </c>
      <c r="C12" s="3" t="str">
        <v>Máy lạnh Sanyo</v>
      </c>
      <c r="D12" s="3">
        <f t="shared" si="0"/>
        <v>210</v>
      </c>
      <c r="E12" s="3">
        <f t="shared" si="1"/>
        <v>126</v>
      </c>
      <c r="F12" s="3">
        <f t="shared" si="2"/>
        <v>26460</v>
      </c>
      <c r="G12" s="3">
        <f t="shared" si="3"/>
        <v>220</v>
      </c>
      <c r="H12" s="3">
        <f t="shared" si="4"/>
        <v>85</v>
      </c>
      <c r="I12" s="3">
        <f t="shared" si="5"/>
        <v>18700</v>
      </c>
      <c r="J12" s="3" t="str">
        <f t="shared" si="6"/>
        <v>Bán chậm</v>
      </c>
    </row>
    <row r="13" spans="1:10" x14ac:dyDescent="0.35">
      <c r="B13" s="27" t="s">
        <v>125</v>
      </c>
      <c r="C13" s="28">
        <f>SUM(F5:F12)</f>
        <v>206720</v>
      </c>
      <c r="D13" s="26"/>
      <c r="E13" s="25"/>
      <c r="F13" s="25"/>
      <c r="H13" s="25"/>
    </row>
    <row r="14" spans="1:10" x14ac:dyDescent="0.35">
      <c r="B14" s="27" t="s">
        <v>126</v>
      </c>
      <c r="C14" s="28">
        <f>SUM(I5:I12)</f>
        <v>153600</v>
      </c>
    </row>
    <row r="16" spans="1:10" s="7" customFormat="1" x14ac:dyDescent="0.35">
      <c r="A16" s="24" t="s">
        <v>121</v>
      </c>
      <c r="B16" s="24"/>
    </row>
    <row r="17" spans="1:5" s="7" customFormat="1" x14ac:dyDescent="0.35">
      <c r="A17" s="1"/>
      <c r="B17" s="1"/>
    </row>
    <row r="18" spans="1:5" x14ac:dyDescent="0.35">
      <c r="A18" s="18" t="s">
        <v>95</v>
      </c>
      <c r="B18" s="18" t="s">
        <v>103</v>
      </c>
      <c r="C18" s="18" t="s">
        <v>96</v>
      </c>
      <c r="D18" s="18" t="s">
        <v>97</v>
      </c>
      <c r="E18" s="18" t="s">
        <v>100</v>
      </c>
    </row>
    <row r="19" spans="1:5" x14ac:dyDescent="0.35">
      <c r="A19" s="18"/>
      <c r="B19" s="18"/>
      <c r="C19" s="18"/>
      <c r="D19" s="18"/>
      <c r="E19" s="18"/>
    </row>
    <row r="20" spans="1:5" x14ac:dyDescent="0.35">
      <c r="A20" s="8" t="s">
        <v>104</v>
      </c>
      <c r="B20" s="8" t="s">
        <v>105</v>
      </c>
      <c r="C20" s="8">
        <v>300</v>
      </c>
      <c r="D20" s="8">
        <v>130</v>
      </c>
      <c r="E20" s="8">
        <v>100</v>
      </c>
    </row>
    <row r="21" spans="1:5" x14ac:dyDescent="0.35">
      <c r="A21" s="8" t="s">
        <v>106</v>
      </c>
      <c r="B21" s="8" t="s">
        <v>107</v>
      </c>
      <c r="C21" s="8">
        <v>250</v>
      </c>
      <c r="D21" s="8">
        <v>90</v>
      </c>
      <c r="E21" s="8">
        <v>60</v>
      </c>
    </row>
    <row r="22" spans="1:5" x14ac:dyDescent="0.35">
      <c r="A22" s="8" t="s">
        <v>108</v>
      </c>
      <c r="B22" s="8" t="s">
        <v>109</v>
      </c>
      <c r="C22" s="8">
        <v>210</v>
      </c>
      <c r="D22" s="8">
        <v>126</v>
      </c>
      <c r="E22" s="8">
        <v>85</v>
      </c>
    </row>
    <row r="23" spans="1:5" x14ac:dyDescent="0.35">
      <c r="A23" s="8" t="s">
        <v>110</v>
      </c>
      <c r="B23" s="8" t="s">
        <v>111</v>
      </c>
      <c r="C23" s="8">
        <v>220</v>
      </c>
      <c r="D23" s="8">
        <v>70</v>
      </c>
      <c r="E23" s="8">
        <v>50</v>
      </c>
    </row>
  </sheetData>
  <mergeCells count="16">
    <mergeCell ref="E18:E19"/>
    <mergeCell ref="A16:B16"/>
    <mergeCell ref="A18:A19"/>
    <mergeCell ref="B18:B19"/>
    <mergeCell ref="C18:C19"/>
    <mergeCell ref="D18:D19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2025-12-23T08:45:10Z</dcterms:created>
  <dcterms:modified xsi:type="dcterms:W3CDTF">2025-12-23T11:24:40Z</dcterms:modified>
</cp:coreProperties>
</file>