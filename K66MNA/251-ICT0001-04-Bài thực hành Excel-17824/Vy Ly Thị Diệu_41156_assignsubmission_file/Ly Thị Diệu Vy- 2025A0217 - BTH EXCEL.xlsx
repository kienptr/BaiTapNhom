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-105" yWindow="-105" windowWidth="23250" windowHeight="1245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3" hidden="1">Sheet4!$I$2:$I$10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7" i="1"/>
  <c r="J3" i="4"/>
  <c r="J4" i="4"/>
  <c r="J5" i="4"/>
  <c r="J6" i="4"/>
  <c r="J7" i="4"/>
  <c r="J8" i="4"/>
  <c r="J9" i="4"/>
  <c r="J2" i="4"/>
  <c r="I2" i="4"/>
  <c r="G2" i="4"/>
  <c r="F2" i="4"/>
  <c r="H3" i="4"/>
  <c r="H4" i="4"/>
  <c r="H5" i="4"/>
  <c r="H6" i="4"/>
  <c r="H7" i="4"/>
  <c r="H8" i="4"/>
  <c r="H9" i="4"/>
  <c r="H2" i="4"/>
  <c r="E3" i="4"/>
  <c r="E4" i="4"/>
  <c r="E5" i="4"/>
  <c r="E6" i="4"/>
  <c r="E7" i="4"/>
  <c r="E8" i="4"/>
  <c r="E9" i="4"/>
  <c r="E2" i="4"/>
  <c r="D3" i="4"/>
  <c r="G3" i="4" s="1"/>
  <c r="I3" i="4" s="1"/>
  <c r="D4" i="4"/>
  <c r="F4" i="4" s="1"/>
  <c r="D5" i="4"/>
  <c r="G5" i="4" s="1"/>
  <c r="I5" i="4" s="1"/>
  <c r="D6" i="4"/>
  <c r="G6" i="4" s="1"/>
  <c r="I6" i="4" s="1"/>
  <c r="D7" i="4"/>
  <c r="G7" i="4" s="1"/>
  <c r="I7" i="4" s="1"/>
  <c r="D8" i="4"/>
  <c r="G8" i="4" s="1"/>
  <c r="I8" i="4" s="1"/>
  <c r="D9" i="4"/>
  <c r="G9" i="4" s="1"/>
  <c r="I9" i="4" s="1"/>
  <c r="D2" i="4"/>
  <c r="C2" i="4"/>
  <c r="C3" i="4"/>
  <c r="C4" i="4"/>
  <c r="C5" i="4"/>
  <c r="C6" i="4"/>
  <c r="C7" i="4"/>
  <c r="C8" i="4"/>
  <c r="C9" i="4"/>
  <c r="I3" i="3"/>
  <c r="K3" i="3" s="1"/>
  <c r="I2" i="3"/>
  <c r="I4" i="3"/>
  <c r="I5" i="3"/>
  <c r="I6" i="3"/>
  <c r="I7" i="3"/>
  <c r="I8" i="3"/>
  <c r="I9" i="3"/>
  <c r="I10" i="3"/>
  <c r="I11" i="3"/>
  <c r="K11" i="3" s="1"/>
  <c r="I12" i="3"/>
  <c r="I13" i="3"/>
  <c r="I14" i="3"/>
  <c r="I15" i="3"/>
  <c r="K15" i="3" s="1"/>
  <c r="I16" i="3"/>
  <c r="I18" i="3"/>
  <c r="I19" i="3"/>
  <c r="I20" i="3"/>
  <c r="J18" i="3"/>
  <c r="H18" i="3"/>
  <c r="J20" i="3"/>
  <c r="H20" i="3"/>
  <c r="J19" i="3"/>
  <c r="H19" i="3"/>
  <c r="J17" i="3"/>
  <c r="H17" i="3"/>
  <c r="K4" i="3"/>
  <c r="K5" i="3"/>
  <c r="K6" i="3"/>
  <c r="K7" i="3"/>
  <c r="K8" i="3"/>
  <c r="K9" i="3"/>
  <c r="K10" i="3"/>
  <c r="K12" i="3"/>
  <c r="K13" i="3"/>
  <c r="K14" i="3"/>
  <c r="K16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2" i="3"/>
  <c r="H5" i="2"/>
  <c r="H6" i="2"/>
  <c r="H7" i="2"/>
  <c r="H8" i="2"/>
  <c r="H9" i="2"/>
  <c r="H4" i="2"/>
  <c r="G5" i="2"/>
  <c r="G6" i="2"/>
  <c r="G7" i="2"/>
  <c r="G8" i="2"/>
  <c r="G9" i="2"/>
  <c r="G4" i="2"/>
  <c r="F7" i="2"/>
  <c r="F5" i="2"/>
  <c r="F6" i="2"/>
  <c r="F8" i="2"/>
  <c r="F9" i="2"/>
  <c r="F4" i="2"/>
  <c r="K5" i="1"/>
  <c r="K6" i="1"/>
  <c r="K7" i="1"/>
  <c r="K8" i="1"/>
  <c r="K9" i="1"/>
  <c r="K10" i="1"/>
  <c r="K11" i="1"/>
  <c r="K12" i="1"/>
  <c r="K13" i="1"/>
  <c r="K14" i="1"/>
  <c r="K15" i="1"/>
  <c r="K16" i="1"/>
  <c r="K4" i="1"/>
  <c r="J5" i="1"/>
  <c r="J6" i="1"/>
  <c r="J7" i="1"/>
  <c r="J8" i="1"/>
  <c r="J9" i="1"/>
  <c r="J10" i="1"/>
  <c r="J11" i="1"/>
  <c r="J12" i="1"/>
  <c r="J13" i="1"/>
  <c r="J14" i="1"/>
  <c r="J15" i="1"/>
  <c r="J16" i="1"/>
  <c r="J4" i="1"/>
  <c r="F18" i="1"/>
  <c r="G18" i="1"/>
  <c r="F17" i="1"/>
  <c r="G17" i="1"/>
  <c r="E18" i="1"/>
  <c r="E17" i="1"/>
  <c r="I5" i="1"/>
  <c r="I6" i="1"/>
  <c r="I7" i="1"/>
  <c r="I8" i="1"/>
  <c r="I9" i="1"/>
  <c r="I10" i="1"/>
  <c r="I11" i="1"/>
  <c r="I12" i="1"/>
  <c r="I13" i="1"/>
  <c r="I14" i="1"/>
  <c r="I15" i="1"/>
  <c r="I16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4" i="1"/>
  <c r="F16" i="1"/>
  <c r="G16" i="1"/>
  <c r="E16" i="1"/>
  <c r="F8" i="4" l="1"/>
  <c r="G4" i="4"/>
  <c r="I4" i="4" s="1"/>
  <c r="I10" i="4" s="1"/>
  <c r="F7" i="4"/>
  <c r="F3" i="4"/>
  <c r="F6" i="4"/>
  <c r="F9" i="4"/>
  <c r="F5" i="4"/>
  <c r="I17" i="3"/>
  <c r="K17" i="3"/>
  <c r="K19" i="3"/>
  <c r="K18" i="3"/>
  <c r="K20" i="3"/>
  <c r="F10" i="4" l="1"/>
</calcChain>
</file>

<file path=xl/sharedStrings.xml><?xml version="1.0" encoding="utf-8"?>
<sst xmlns="http://schemas.openxmlformats.org/spreadsheetml/2006/main" count="156" uniqueCount="125">
  <si>
    <t>KẾT QUẢ THI CUỐI KHÓA</t>
  </si>
  <si>
    <t>STT</t>
  </si>
  <si>
    <t xml:space="preserve">TÊN HS </t>
  </si>
  <si>
    <t>PHÁI</t>
  </si>
  <si>
    <t>NS</t>
  </si>
  <si>
    <t xml:space="preserve">TOÁN </t>
  </si>
  <si>
    <t xml:space="preserve">VĂN </t>
  </si>
  <si>
    <t>NN</t>
  </si>
  <si>
    <t>ĐTB</t>
  </si>
  <si>
    <t>KQ</t>
  </si>
  <si>
    <t>XẾP HẠNG</t>
  </si>
  <si>
    <t>LÂM</t>
  </si>
  <si>
    <t>HẢI</t>
  </si>
  <si>
    <t xml:space="preserve">HIỆP </t>
  </si>
  <si>
    <t xml:space="preserve">THẢO </t>
  </si>
  <si>
    <t>MINH</t>
  </si>
  <si>
    <t xml:space="preserve">HỒNG </t>
  </si>
  <si>
    <t xml:space="preserve">LINH </t>
  </si>
  <si>
    <t xml:space="preserve">NAM </t>
  </si>
  <si>
    <t>DIỄM</t>
  </si>
  <si>
    <t xml:space="preserve">NGA </t>
  </si>
  <si>
    <t xml:space="preserve">KHOA </t>
  </si>
  <si>
    <t>SƠN</t>
  </si>
  <si>
    <t>NAM</t>
  </si>
  <si>
    <t>NỮ</t>
  </si>
  <si>
    <t xml:space="preserve">TRUNG BÌNH </t>
  </si>
  <si>
    <t xml:space="preserve">CAO NHẤT </t>
  </si>
  <si>
    <t xml:space="preserve">THẤP NHẤT </t>
  </si>
  <si>
    <t>KHEN THƯỞNG</t>
  </si>
  <si>
    <t>DANH SÁCH THƯỞNG THÁNG 3</t>
  </si>
  <si>
    <t>HỌ</t>
  </si>
  <si>
    <t>TÊN</t>
  </si>
  <si>
    <t xml:space="preserve">NGÀY CÔNG </t>
  </si>
  <si>
    <t>THƯỞNG 8/3</t>
  </si>
  <si>
    <t>THƯỞNG A</t>
  </si>
  <si>
    <t>TRẦN THANH</t>
  </si>
  <si>
    <t>TUẤN</t>
  </si>
  <si>
    <t>PHẠM HÙNG</t>
  </si>
  <si>
    <t>CƯỜNG</t>
  </si>
  <si>
    <t xml:space="preserve">LÊ NGỌC </t>
  </si>
  <si>
    <t>XUÂN</t>
  </si>
  <si>
    <t>PHẠM THANH</t>
  </si>
  <si>
    <t>LONG</t>
  </si>
  <si>
    <t>PHẠM HOÀI</t>
  </si>
  <si>
    <t xml:space="preserve">LÊ THANH </t>
  </si>
  <si>
    <t>LAN</t>
  </si>
  <si>
    <t>THƯỞNG B</t>
  </si>
  <si>
    <t>HỌ VÀ TÊN</t>
  </si>
  <si>
    <t xml:space="preserve">CHỨC VỤ </t>
  </si>
  <si>
    <t>NĂM SINH</t>
  </si>
  <si>
    <t>LCB</t>
  </si>
  <si>
    <t xml:space="preserve">NGÀY </t>
  </si>
  <si>
    <t>LƯƠNG</t>
  </si>
  <si>
    <t>TẠM ỨNG</t>
  </si>
  <si>
    <t xml:space="preserve">Nguyễn Văn Tâm </t>
  </si>
  <si>
    <t>Nguyễn Thị  Hằng</t>
  </si>
  <si>
    <t>Ngô Thị Nga</t>
  </si>
  <si>
    <t xml:space="preserve">Trần Thiên Thu </t>
  </si>
  <si>
    <t xml:space="preserve">Lâm Hoàng Cát </t>
  </si>
  <si>
    <t xml:space="preserve">Lê Hoài Sơn </t>
  </si>
  <si>
    <t>Lý Lâm</t>
  </si>
  <si>
    <t>Trần Văn  Trung</t>
  </si>
  <si>
    <t>Nguyễn Văn Trang</t>
  </si>
  <si>
    <t>Lý Thu Nga</t>
  </si>
  <si>
    <t>Nguyễn Văn Hùng</t>
  </si>
  <si>
    <t>Trần Thị Phượng</t>
  </si>
  <si>
    <t>Võ Tấn Thành</t>
  </si>
  <si>
    <t>Lê Văn Minh</t>
  </si>
  <si>
    <t>Doãn Hòa</t>
  </si>
  <si>
    <t>TP</t>
  </si>
  <si>
    <t>NV</t>
  </si>
  <si>
    <t>PP</t>
  </si>
  <si>
    <t>KT</t>
  </si>
  <si>
    <t>BV</t>
  </si>
  <si>
    <t>GĐ</t>
  </si>
  <si>
    <t>PGĐ</t>
  </si>
  <si>
    <t>21/2/1967</t>
  </si>
  <si>
    <t>22/9/1975</t>
  </si>
  <si>
    <t>14/5/1968</t>
  </si>
  <si>
    <t>15/2/1958</t>
  </si>
  <si>
    <t>26/8/1978</t>
  </si>
  <si>
    <t>17/8/1969</t>
  </si>
  <si>
    <t>15/8/1969</t>
  </si>
  <si>
    <t>15/5/1954</t>
  </si>
  <si>
    <t>16/9/1967</t>
  </si>
  <si>
    <t>19/9/1969</t>
  </si>
  <si>
    <t>16/9/1954</t>
  </si>
  <si>
    <t>24/8/1968</t>
  </si>
  <si>
    <t>TUỔI</t>
  </si>
  <si>
    <t>THƯỞNG</t>
  </si>
  <si>
    <t>TỔNG CỘNG</t>
  </si>
  <si>
    <t>BÌNH QUÂN</t>
  </si>
  <si>
    <t>CAO NHẤT</t>
  </si>
  <si>
    <t>THẤP NHẤT</t>
  </si>
  <si>
    <t>CÒN LẠI</t>
  </si>
  <si>
    <t xml:space="preserve">MÃ HÀNG </t>
  </si>
  <si>
    <t>TÊN HÀNG</t>
  </si>
  <si>
    <t xml:space="preserve">GIÁ NHẬP </t>
  </si>
  <si>
    <t>SL NHẬP</t>
  </si>
  <si>
    <t xml:space="preserve">TIỀN NHẬP </t>
  </si>
  <si>
    <t>GIÁ XUẤT</t>
  </si>
  <si>
    <t>SL XUẤT</t>
  </si>
  <si>
    <t>TIỀN XUẤT</t>
  </si>
  <si>
    <t>GHI CHÚ</t>
  </si>
  <si>
    <t>PaoA12</t>
  </si>
  <si>
    <t>Pa0C15</t>
  </si>
  <si>
    <t>Sa0B2</t>
  </si>
  <si>
    <t>To0C23</t>
  </si>
  <si>
    <t>Hi0C12</t>
  </si>
  <si>
    <t>Hi0A13</t>
  </si>
  <si>
    <t>To0B12</t>
  </si>
  <si>
    <t xml:space="preserve">CỘNG </t>
  </si>
  <si>
    <t>MÃ HÀNG</t>
  </si>
  <si>
    <t>GIÁ NHẬP</t>
  </si>
  <si>
    <t>Bảng tra dữ liệu các loại máy lạnh</t>
  </si>
  <si>
    <t>Pa</t>
  </si>
  <si>
    <t>To</t>
  </si>
  <si>
    <t>Sa</t>
  </si>
  <si>
    <t>Hi</t>
  </si>
  <si>
    <t>Máy lạnh Panasonic</t>
  </si>
  <si>
    <t>Máy lạnh Toshiba</t>
  </si>
  <si>
    <t>Máy lạnh Sanyo</t>
  </si>
  <si>
    <t>Máy lạnh Hitachi</t>
  </si>
  <si>
    <t>Nữ</t>
  </si>
  <si>
    <t>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</si>
</sst>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* #,##0.00\ &quot;₫&quot;_-;\-* #,##0.00\ &quot;₫&quot;_-;_-* &quot;-&quot;??\ &quot;₫&quot;_-;_-@_-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[$VND]\ * #,###_);_([$VND]\ * \(#,##0.00\);_([$VND]\ * &quot;-&quot;??_);_(@_)"/>
    <numFmt numFmtId="167" formatCode="_([$VND]\ * #,##0_);_([$VND]\ * \(#,##0\);_([$VND]\ * &quot;-&quot;??_);_(@_)"/>
    <numFmt numFmtId="170" formatCode="_(&quot;$&quot;* #,##0_);_(&quot;$&quot;* \(#,##0\);_(&quot;$&quot;* &quot;-&quot;??_);_(@_)"/>
    <numFmt numFmtId="176" formatCode="0.0"/>
    <numFmt numFmtId="183" formatCode="_-* #,##0\ [$VND]_-;\-* #,##0\ [$VND]_-;_-* &quot;-&quot;\ [$VND]_-;_-@_-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22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6" xfId="0" applyBorder="1"/>
    <xf numFmtId="0" fontId="0" fillId="0" borderId="7" xfId="0" applyBorder="1"/>
    <xf numFmtId="0" fontId="3" fillId="0" borderId="0" xfId="0" applyFont="1"/>
    <xf numFmtId="0" fontId="0" fillId="0" borderId="5" xfId="0" applyBorder="1"/>
    <xf numFmtId="0" fontId="0" fillId="0" borderId="0" xfId="0" applyBorder="1"/>
    <xf numFmtId="0" fontId="3" fillId="0" borderId="0" xfId="0" applyFont="1" applyBorder="1"/>
    <xf numFmtId="0" fontId="3" fillId="0" borderId="6" xfId="0" applyFont="1" applyBorder="1"/>
    <xf numFmtId="0" fontId="2" fillId="0" borderId="0" xfId="0" applyFont="1" applyBorder="1"/>
    <xf numFmtId="0" fontId="3" fillId="4" borderId="9" xfId="0" applyFont="1" applyFill="1" applyBorder="1"/>
    <xf numFmtId="0" fontId="4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4" xfId="0" applyFill="1" applyBorder="1" applyAlignment="1">
      <alignment horizontal="center"/>
    </xf>
    <xf numFmtId="0" fontId="7" fillId="0" borderId="0" xfId="0" applyFont="1"/>
    <xf numFmtId="0" fontId="7" fillId="0" borderId="7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167" fontId="7" fillId="2" borderId="7" xfId="0" applyNumberFormat="1" applyFont="1" applyFill="1" applyBorder="1" applyAlignment="1">
      <alignment horizontal="center"/>
    </xf>
    <xf numFmtId="167" fontId="7" fillId="0" borderId="7" xfId="0" applyNumberFormat="1" applyFont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/>
    </xf>
    <xf numFmtId="0" fontId="6" fillId="0" borderId="7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0" fontId="8" fillId="0" borderId="20" xfId="0" applyFont="1" applyBorder="1" applyAlignment="1"/>
    <xf numFmtId="0" fontId="8" fillId="0" borderId="0" xfId="0" applyFont="1" applyBorder="1" applyAlignment="1"/>
    <xf numFmtId="44" fontId="7" fillId="0" borderId="10" xfId="0" applyNumberFormat="1" applyFont="1" applyBorder="1" applyAlignment="1">
      <alignment horizontal="center"/>
    </xf>
    <xf numFmtId="44" fontId="7" fillId="0" borderId="7" xfId="0" applyNumberFormat="1" applyFont="1" applyBorder="1" applyAlignment="1">
      <alignment horizontal="center"/>
    </xf>
    <xf numFmtId="0" fontId="6" fillId="2" borderId="7" xfId="0" applyFont="1" applyFill="1" applyBorder="1" applyAlignment="1">
      <alignment horizontal="center" vertical="center"/>
    </xf>
    <xf numFmtId="164" fontId="6" fillId="2" borderId="7" xfId="1" applyNumberFormat="1" applyFont="1" applyFill="1" applyBorder="1" applyAlignment="1">
      <alignment horizontal="center" vertical="center"/>
    </xf>
    <xf numFmtId="170" fontId="6" fillId="2" borderId="7" xfId="1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4" fontId="7" fillId="0" borderId="7" xfId="1" applyNumberFormat="1" applyFont="1" applyBorder="1" applyAlignment="1">
      <alignment horizontal="center" vertical="center"/>
    </xf>
    <xf numFmtId="170" fontId="7" fillId="0" borderId="7" xfId="1" applyNumberFormat="1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0" fillId="0" borderId="2" xfId="0" applyBorder="1"/>
    <xf numFmtId="0" fontId="7" fillId="0" borderId="1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167" fontId="7" fillId="2" borderId="7" xfId="0" applyNumberFormat="1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183" fontId="7" fillId="0" borderId="7" xfId="1" applyNumberFormat="1" applyFont="1" applyBorder="1" applyAlignment="1">
      <alignment horizontal="center" vertical="center"/>
    </xf>
    <xf numFmtId="166" fontId="7" fillId="0" borderId="7" xfId="1" applyNumberFormat="1" applyFont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abSelected="1" workbookViewId="0">
      <selection activeCell="G21" sqref="G21"/>
    </sheetView>
  </sheetViews>
  <sheetFormatPr defaultRowHeight="14.25"/>
  <cols>
    <col min="1" max="1" width="6" customWidth="1"/>
    <col min="3" max="3" width="5.875" customWidth="1"/>
    <col min="4" max="4" width="5.5" customWidth="1"/>
    <col min="6" max="6" width="9.375" bestFit="1" customWidth="1"/>
    <col min="10" max="10" width="14.625" customWidth="1"/>
    <col min="11" max="11" width="16.125" customWidth="1"/>
    <col min="12" max="12" width="15.375" bestFit="1" customWidth="1"/>
  </cols>
  <sheetData>
    <row r="1" spans="1:1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2"/>
    </row>
    <row r="2" spans="1:13" ht="19.5" thickBot="1">
      <c r="A2" s="13"/>
      <c r="B2" s="13"/>
      <c r="C2" s="13"/>
      <c r="D2" s="13"/>
      <c r="E2" s="13"/>
      <c r="F2" s="14"/>
      <c r="G2" s="13"/>
      <c r="H2" s="13"/>
      <c r="I2" s="13"/>
      <c r="J2" s="15"/>
      <c r="K2" s="42"/>
      <c r="L2" s="43"/>
    </row>
    <row r="3" spans="1:13" ht="16.5" thickTop="1">
      <c r="A3" s="26" t="s">
        <v>1</v>
      </c>
      <c r="B3" s="24" t="s">
        <v>2</v>
      </c>
      <c r="C3" s="26" t="s">
        <v>3</v>
      </c>
      <c r="D3" s="27" t="s">
        <v>4</v>
      </c>
      <c r="E3" s="21" t="s">
        <v>5</v>
      </c>
      <c r="F3" s="22" t="s">
        <v>6</v>
      </c>
      <c r="G3" s="23" t="s">
        <v>7</v>
      </c>
      <c r="H3" s="24" t="s">
        <v>8</v>
      </c>
      <c r="I3" s="25" t="s">
        <v>9</v>
      </c>
      <c r="J3" s="21" t="s">
        <v>10</v>
      </c>
      <c r="K3" s="36" t="s">
        <v>28</v>
      </c>
      <c r="L3" s="37"/>
      <c r="M3" s="37"/>
    </row>
    <row r="4" spans="1:13" ht="15.75">
      <c r="A4" s="17">
        <v>1</v>
      </c>
      <c r="B4" s="17" t="s">
        <v>11</v>
      </c>
      <c r="C4" s="17" t="s">
        <v>23</v>
      </c>
      <c r="D4" s="17">
        <v>1987</v>
      </c>
      <c r="E4" s="18">
        <v>10</v>
      </c>
      <c r="F4" s="19">
        <v>8</v>
      </c>
      <c r="G4" s="17">
        <v>9</v>
      </c>
      <c r="H4" s="35">
        <f>(E4*2+F4*2+G4)/5</f>
        <v>9</v>
      </c>
      <c r="I4" s="17" t="str">
        <f>IF(H4&gt;=5,"Đạt","Rớt")</f>
        <v>Đạt</v>
      </c>
      <c r="J4" s="20">
        <f>RANK(H4,$H$4:$H$16,0)</f>
        <v>1</v>
      </c>
      <c r="K4" s="44" t="str">
        <f>IF(J4=1,"200.000",IF(J4=2,"100.000","0"))</f>
        <v>200.000</v>
      </c>
      <c r="L4" s="38"/>
      <c r="M4" s="16"/>
    </row>
    <row r="5" spans="1:13" ht="15.75">
      <c r="A5" s="17">
        <v>2</v>
      </c>
      <c r="B5" s="17" t="s">
        <v>12</v>
      </c>
      <c r="C5" s="17" t="s">
        <v>23</v>
      </c>
      <c r="D5" s="17">
        <v>1987</v>
      </c>
      <c r="E5" s="17">
        <v>8</v>
      </c>
      <c r="F5" s="17">
        <v>8.5</v>
      </c>
      <c r="G5" s="17">
        <v>9</v>
      </c>
      <c r="H5" s="35">
        <f t="shared" ref="H5:H16" si="0">(E5*2+F5*2+G5)/5</f>
        <v>8.4</v>
      </c>
      <c r="I5" s="17" t="str">
        <f t="shared" ref="I5:I16" si="1">IF(H5&gt;=5,"Đạt","Rớt")</f>
        <v>Đạt</v>
      </c>
      <c r="J5" s="20">
        <f t="shared" ref="J5:J16" si="2">RANK(H5,$H$4:$H$16,0)</f>
        <v>2</v>
      </c>
      <c r="K5" s="28" t="str">
        <f t="shared" ref="K5:K16" si="3">IF(J5=1,"200.000",IF(J5=2,"100.000","0"))</f>
        <v>100.000</v>
      </c>
      <c r="L5" s="39"/>
      <c r="M5" s="16"/>
    </row>
    <row r="6" spans="1:13" ht="15.75">
      <c r="A6" s="17">
        <v>3</v>
      </c>
      <c r="B6" s="17" t="s">
        <v>13</v>
      </c>
      <c r="C6" s="17" t="s">
        <v>23</v>
      </c>
      <c r="D6" s="17">
        <v>1986</v>
      </c>
      <c r="E6" s="17">
        <v>9</v>
      </c>
      <c r="F6" s="17">
        <v>8</v>
      </c>
      <c r="G6" s="17">
        <v>7</v>
      </c>
      <c r="H6" s="35">
        <f t="shared" si="0"/>
        <v>8.1999999999999993</v>
      </c>
      <c r="I6" s="17" t="str">
        <f t="shared" si="1"/>
        <v>Đạt</v>
      </c>
      <c r="J6" s="20">
        <f t="shared" si="2"/>
        <v>3</v>
      </c>
      <c r="K6" s="28" t="str">
        <f t="shared" si="3"/>
        <v>0</v>
      </c>
      <c r="L6" s="40"/>
      <c r="M6" s="16"/>
    </row>
    <row r="7" spans="1:13" ht="15.75">
      <c r="A7" s="17">
        <v>4</v>
      </c>
      <c r="B7" s="17" t="s">
        <v>14</v>
      </c>
      <c r="C7" s="17" t="s">
        <v>24</v>
      </c>
      <c r="D7" s="17">
        <v>1988</v>
      </c>
      <c r="E7" s="17">
        <v>10</v>
      </c>
      <c r="F7" s="17">
        <v>4</v>
      </c>
      <c r="G7" s="17">
        <v>7</v>
      </c>
      <c r="H7" s="35">
        <f t="shared" si="0"/>
        <v>7</v>
      </c>
      <c r="I7" s="17" t="str">
        <f t="shared" si="1"/>
        <v>Đạt</v>
      </c>
      <c r="J7" s="20">
        <f t="shared" si="2"/>
        <v>4</v>
      </c>
      <c r="K7" s="28" t="str">
        <f t="shared" si="3"/>
        <v>0</v>
      </c>
      <c r="L7" s="40"/>
      <c r="M7" s="16"/>
    </row>
    <row r="8" spans="1:13" ht="15.75">
      <c r="A8" s="17">
        <v>5</v>
      </c>
      <c r="B8" s="17" t="s">
        <v>15</v>
      </c>
      <c r="C8" s="17" t="s">
        <v>23</v>
      </c>
      <c r="D8" s="17">
        <v>1988</v>
      </c>
      <c r="E8" s="17">
        <v>9</v>
      </c>
      <c r="F8" s="17">
        <v>5</v>
      </c>
      <c r="G8" s="17">
        <v>6</v>
      </c>
      <c r="H8" s="35">
        <f t="shared" si="0"/>
        <v>6.8</v>
      </c>
      <c r="I8" s="17" t="str">
        <f t="shared" si="1"/>
        <v>Đạt</v>
      </c>
      <c r="J8" s="20">
        <f t="shared" si="2"/>
        <v>5</v>
      </c>
      <c r="K8" s="28" t="str">
        <f t="shared" si="3"/>
        <v>0</v>
      </c>
      <c r="L8" s="40"/>
      <c r="M8" s="16"/>
    </row>
    <row r="9" spans="1:13" ht="15.75">
      <c r="A9" s="17">
        <v>6</v>
      </c>
      <c r="B9" s="17" t="s">
        <v>16</v>
      </c>
      <c r="C9" s="17" t="s">
        <v>24</v>
      </c>
      <c r="D9" s="17">
        <v>1987</v>
      </c>
      <c r="E9" s="17">
        <v>6</v>
      </c>
      <c r="F9" s="17">
        <v>6</v>
      </c>
      <c r="G9" s="17">
        <v>8</v>
      </c>
      <c r="H9" s="35">
        <f t="shared" si="0"/>
        <v>6.4</v>
      </c>
      <c r="I9" s="17" t="str">
        <f t="shared" si="1"/>
        <v>Đạt</v>
      </c>
      <c r="J9" s="20">
        <f t="shared" si="2"/>
        <v>6</v>
      </c>
      <c r="K9" s="28" t="str">
        <f t="shared" si="3"/>
        <v>0</v>
      </c>
      <c r="L9" s="40"/>
      <c r="M9" s="16"/>
    </row>
    <row r="10" spans="1:13" ht="15.75">
      <c r="A10" s="17">
        <v>7</v>
      </c>
      <c r="B10" s="17" t="s">
        <v>17</v>
      </c>
      <c r="C10" s="17" t="s">
        <v>23</v>
      </c>
      <c r="D10" s="17">
        <v>1986</v>
      </c>
      <c r="E10" s="17">
        <v>7.5</v>
      </c>
      <c r="F10" s="17">
        <v>5</v>
      </c>
      <c r="G10" s="17">
        <v>6</v>
      </c>
      <c r="H10" s="35">
        <f t="shared" si="0"/>
        <v>6.2</v>
      </c>
      <c r="I10" s="17" t="str">
        <f t="shared" si="1"/>
        <v>Đạt</v>
      </c>
      <c r="J10" s="20">
        <f t="shared" si="2"/>
        <v>8</v>
      </c>
      <c r="K10" s="28" t="str">
        <f t="shared" si="3"/>
        <v>0</v>
      </c>
      <c r="L10" s="40"/>
      <c r="M10" s="16"/>
    </row>
    <row r="11" spans="1:13" ht="15.75">
      <c r="A11" s="17">
        <v>8</v>
      </c>
      <c r="B11" s="17" t="s">
        <v>18</v>
      </c>
      <c r="C11" s="17" t="s">
        <v>23</v>
      </c>
      <c r="D11" s="17">
        <v>1988</v>
      </c>
      <c r="E11" s="17">
        <v>3</v>
      </c>
      <c r="F11" s="17">
        <v>9</v>
      </c>
      <c r="G11" s="17">
        <v>7</v>
      </c>
      <c r="H11" s="35">
        <f t="shared" si="0"/>
        <v>6.2</v>
      </c>
      <c r="I11" s="17" t="str">
        <f t="shared" si="1"/>
        <v>Đạt</v>
      </c>
      <c r="J11" s="20">
        <f t="shared" si="2"/>
        <v>8</v>
      </c>
      <c r="K11" s="28" t="str">
        <f t="shared" si="3"/>
        <v>0</v>
      </c>
      <c r="L11" s="40"/>
      <c r="M11" s="16"/>
    </row>
    <row r="12" spans="1:13" ht="15.75">
      <c r="A12" s="17">
        <v>9</v>
      </c>
      <c r="B12" s="17" t="s">
        <v>19</v>
      </c>
      <c r="C12" s="17" t="s">
        <v>24</v>
      </c>
      <c r="D12" s="17">
        <v>1988</v>
      </c>
      <c r="E12" s="17">
        <v>4</v>
      </c>
      <c r="F12" s="17">
        <v>5</v>
      </c>
      <c r="G12" s="17">
        <v>5.5</v>
      </c>
      <c r="H12" s="35">
        <f t="shared" si="0"/>
        <v>4.7</v>
      </c>
      <c r="I12" s="17" t="str">
        <f t="shared" si="1"/>
        <v>Rớt</v>
      </c>
      <c r="J12" s="20">
        <f t="shared" si="2"/>
        <v>11</v>
      </c>
      <c r="K12" s="28" t="str">
        <f t="shared" si="3"/>
        <v>0</v>
      </c>
      <c r="L12" s="40"/>
      <c r="M12" s="16"/>
    </row>
    <row r="13" spans="1:13" ht="15.75">
      <c r="A13" s="17">
        <v>10</v>
      </c>
      <c r="B13" s="17" t="s">
        <v>20</v>
      </c>
      <c r="C13" s="17" t="s">
        <v>24</v>
      </c>
      <c r="D13" s="17">
        <v>1988</v>
      </c>
      <c r="E13" s="17">
        <v>4.5</v>
      </c>
      <c r="F13" s="17">
        <v>6</v>
      </c>
      <c r="G13" s="17">
        <v>4</v>
      </c>
      <c r="H13" s="35">
        <f t="shared" si="0"/>
        <v>5</v>
      </c>
      <c r="I13" s="17" t="str">
        <f t="shared" si="1"/>
        <v>Đạt</v>
      </c>
      <c r="J13" s="20">
        <f t="shared" si="2"/>
        <v>10</v>
      </c>
      <c r="K13" s="28" t="str">
        <f t="shared" si="3"/>
        <v>0</v>
      </c>
      <c r="L13" s="40"/>
      <c r="M13" s="16"/>
    </row>
    <row r="14" spans="1:13" ht="15.75">
      <c r="A14" s="17">
        <v>11</v>
      </c>
      <c r="B14" s="17" t="s">
        <v>21</v>
      </c>
      <c r="C14" s="17" t="s">
        <v>23</v>
      </c>
      <c r="D14" s="17">
        <v>1987</v>
      </c>
      <c r="E14" s="17">
        <v>3</v>
      </c>
      <c r="F14" s="17">
        <v>5</v>
      </c>
      <c r="G14" s="17">
        <v>5</v>
      </c>
      <c r="H14" s="35">
        <f t="shared" si="0"/>
        <v>4.2</v>
      </c>
      <c r="I14" s="17" t="str">
        <f t="shared" si="1"/>
        <v>Rớt</v>
      </c>
      <c r="J14" s="20">
        <f t="shared" si="2"/>
        <v>12</v>
      </c>
      <c r="K14" s="28" t="str">
        <f t="shared" si="3"/>
        <v>0</v>
      </c>
      <c r="L14" s="40"/>
      <c r="M14" s="16"/>
    </row>
    <row r="15" spans="1:13" ht="15.75">
      <c r="A15" s="17">
        <v>12</v>
      </c>
      <c r="B15" s="17" t="s">
        <v>22</v>
      </c>
      <c r="C15" s="17" t="s">
        <v>23</v>
      </c>
      <c r="D15" s="17">
        <v>1986</v>
      </c>
      <c r="E15" s="17">
        <v>4</v>
      </c>
      <c r="F15" s="17">
        <v>3</v>
      </c>
      <c r="G15" s="17">
        <v>5</v>
      </c>
      <c r="H15" s="35">
        <f t="shared" si="0"/>
        <v>3.8</v>
      </c>
      <c r="I15" s="17" t="str">
        <f t="shared" si="1"/>
        <v>Rớt</v>
      </c>
      <c r="J15" s="20">
        <f t="shared" si="2"/>
        <v>13</v>
      </c>
      <c r="K15" s="28" t="str">
        <f t="shared" si="3"/>
        <v>0</v>
      </c>
      <c r="L15" s="40"/>
      <c r="M15" s="16"/>
    </row>
    <row r="16" spans="1:13" ht="15.75">
      <c r="A16" s="69" t="s">
        <v>25</v>
      </c>
      <c r="B16" s="70"/>
      <c r="C16" s="70"/>
      <c r="D16" s="71"/>
      <c r="E16" s="49">
        <f>AVERAGE(E4:E15)</f>
        <v>6.5</v>
      </c>
      <c r="F16" s="75">
        <f t="shared" ref="F16:G16" si="4">AVERAGE(F4:F15)</f>
        <v>6.041666666666667</v>
      </c>
      <c r="G16" s="75">
        <f t="shared" si="4"/>
        <v>6.541666666666667</v>
      </c>
      <c r="H16" s="76">
        <f t="shared" si="0"/>
        <v>6.3250000000000011</v>
      </c>
      <c r="I16" s="49" t="str">
        <f t="shared" si="1"/>
        <v>Đạt</v>
      </c>
      <c r="J16" s="59">
        <f t="shared" si="2"/>
        <v>7</v>
      </c>
      <c r="K16" s="77" t="str">
        <f t="shared" si="3"/>
        <v>0</v>
      </c>
      <c r="L16" s="41"/>
      <c r="M16" s="16"/>
    </row>
    <row r="17" spans="1:13" ht="15.75">
      <c r="A17" s="70" t="s">
        <v>26</v>
      </c>
      <c r="B17" s="70"/>
      <c r="C17" s="70"/>
      <c r="D17" s="71"/>
      <c r="E17" s="49">
        <f>MAX(E4:E15)</f>
        <v>10</v>
      </c>
      <c r="F17" s="49">
        <f t="shared" ref="F17:J17" si="5">MAX(F4:F15)</f>
        <v>9</v>
      </c>
      <c r="G17" s="49">
        <f t="shared" si="5"/>
        <v>9</v>
      </c>
      <c r="H17" s="49">
        <f t="shared" si="5"/>
        <v>9</v>
      </c>
      <c r="I17" s="49"/>
      <c r="J17" s="49"/>
      <c r="K17" s="49"/>
      <c r="L17" s="41"/>
      <c r="M17" s="16"/>
    </row>
    <row r="18" spans="1:13" ht="16.5" thickBot="1">
      <c r="A18" s="78" t="s">
        <v>27</v>
      </c>
      <c r="B18" s="78"/>
      <c r="C18" s="78"/>
      <c r="D18" s="79"/>
      <c r="E18" s="80">
        <f>MIN(E4:E15)</f>
        <v>3</v>
      </c>
      <c r="F18" s="80">
        <f t="shared" ref="F18:J18" si="6">MIN(F4:F15)</f>
        <v>3</v>
      </c>
      <c r="G18" s="80">
        <f t="shared" si="6"/>
        <v>4</v>
      </c>
      <c r="H18" s="80">
        <f t="shared" si="6"/>
        <v>3.8</v>
      </c>
      <c r="I18" s="80"/>
      <c r="J18" s="80"/>
      <c r="K18" s="49"/>
      <c r="L18" s="41"/>
      <c r="M18" s="16"/>
    </row>
    <row r="19" spans="1:13" ht="15" thickTop="1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</row>
    <row r="35" spans="8:8">
      <c r="H35" s="2"/>
    </row>
  </sheetData>
  <mergeCells count="4">
    <mergeCell ref="A1:J2"/>
    <mergeCell ref="A18:D18"/>
    <mergeCell ref="A16:D16"/>
    <mergeCell ref="A17:D1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B3" sqref="B3"/>
    </sheetView>
  </sheetViews>
  <sheetFormatPr defaultRowHeight="14.25"/>
  <cols>
    <col min="1" max="1" width="4.5" customWidth="1"/>
    <col min="2" max="2" width="13.75" customWidth="1"/>
    <col min="3" max="3" width="8.25" customWidth="1"/>
    <col min="4" max="4" width="7.625" customWidth="1"/>
    <col min="5" max="5" width="13.75" customWidth="1"/>
    <col min="6" max="6" width="15" customWidth="1"/>
    <col min="7" max="7" width="19.25" customWidth="1"/>
    <col min="8" max="8" width="15.5" customWidth="1"/>
  </cols>
  <sheetData>
    <row r="1" spans="1:8" ht="18.600000000000001" customHeight="1">
      <c r="A1" s="33" t="s">
        <v>29</v>
      </c>
      <c r="B1" s="33"/>
      <c r="C1" s="33"/>
      <c r="D1" s="33"/>
      <c r="E1" s="33"/>
      <c r="F1" s="33"/>
      <c r="G1" s="33"/>
      <c r="H1" s="29"/>
    </row>
    <row r="2" spans="1:8" ht="15.75">
      <c r="A2" s="33"/>
      <c r="B2" s="33"/>
      <c r="C2" s="33"/>
      <c r="D2" s="33"/>
      <c r="E2" s="33"/>
      <c r="F2" s="33"/>
      <c r="G2" s="34"/>
      <c r="H2" s="29"/>
    </row>
    <row r="3" spans="1:8" ht="15.75">
      <c r="A3" s="30" t="s">
        <v>1</v>
      </c>
      <c r="B3" s="30" t="s">
        <v>30</v>
      </c>
      <c r="C3" s="30" t="s">
        <v>31</v>
      </c>
      <c r="D3" s="30" t="s">
        <v>3</v>
      </c>
      <c r="E3" s="30" t="s">
        <v>32</v>
      </c>
      <c r="F3" s="30" t="s">
        <v>33</v>
      </c>
      <c r="G3" s="31" t="s">
        <v>34</v>
      </c>
      <c r="H3" s="30" t="s">
        <v>46</v>
      </c>
    </row>
    <row r="4" spans="1:8" ht="15.75">
      <c r="A4" s="17">
        <v>1</v>
      </c>
      <c r="B4" s="17" t="s">
        <v>35</v>
      </c>
      <c r="C4" s="17" t="s">
        <v>36</v>
      </c>
      <c r="D4" s="17" t="s">
        <v>124</v>
      </c>
      <c r="E4" s="17">
        <v>25</v>
      </c>
      <c r="F4" s="17" t="str">
        <f>IF(D4="NỮ","200.000","0")</f>
        <v>0</v>
      </c>
      <c r="G4" s="45" t="str">
        <f>IF(E4&gt;=24,"300.000","0")</f>
        <v>300.000</v>
      </c>
      <c r="H4" s="17">
        <f>IF(OR(AND(D4="Nam",E4&gt;26),AND(D4="Nữ",E4&gt;25)),"100.000",0)</f>
        <v>0</v>
      </c>
    </row>
    <row r="5" spans="1:8" ht="15.75">
      <c r="A5" s="17">
        <v>2</v>
      </c>
      <c r="B5" s="17" t="s">
        <v>37</v>
      </c>
      <c r="C5" s="17" t="s">
        <v>38</v>
      </c>
      <c r="D5" s="17" t="s">
        <v>124</v>
      </c>
      <c r="E5" s="17">
        <v>24</v>
      </c>
      <c r="F5" s="17" t="str">
        <f t="shared" ref="F5:F9" si="0">IF(D5="NỮ","200.000","0")</f>
        <v>0</v>
      </c>
      <c r="G5" s="32" t="str">
        <f t="shared" ref="G5:G9" si="1">IF(E5&gt;=24,"300.000","0")</f>
        <v>300.000</v>
      </c>
      <c r="H5" s="17">
        <f t="shared" ref="H5:H9" si="2">IF(OR(AND(D5="Nam",E5&gt;26),AND(D5="Nữ",E5&gt;25)),"100.000",0)</f>
        <v>0</v>
      </c>
    </row>
    <row r="6" spans="1:8" ht="15.75">
      <c r="A6" s="17">
        <v>3</v>
      </c>
      <c r="B6" s="17" t="s">
        <v>39</v>
      </c>
      <c r="C6" s="17" t="s">
        <v>40</v>
      </c>
      <c r="D6" s="17" t="s">
        <v>123</v>
      </c>
      <c r="E6" s="17">
        <v>26</v>
      </c>
      <c r="F6" s="17" t="str">
        <f t="shared" si="0"/>
        <v>200.000</v>
      </c>
      <c r="G6" s="32" t="str">
        <f t="shared" si="1"/>
        <v>300.000</v>
      </c>
      <c r="H6" s="17" t="str">
        <f t="shared" si="2"/>
        <v>100.000</v>
      </c>
    </row>
    <row r="7" spans="1:8" ht="15.75">
      <c r="A7" s="17">
        <v>4</v>
      </c>
      <c r="B7" s="17" t="s">
        <v>41</v>
      </c>
      <c r="C7" s="17" t="s">
        <v>42</v>
      </c>
      <c r="D7" s="17" t="s">
        <v>123</v>
      </c>
      <c r="E7" s="17">
        <v>22</v>
      </c>
      <c r="F7" s="17" t="str">
        <f>IF(D7="NỮ","200.000","0")</f>
        <v>200.000</v>
      </c>
      <c r="G7" s="32" t="str">
        <f t="shared" si="1"/>
        <v>0</v>
      </c>
      <c r="H7" s="17">
        <f t="shared" si="2"/>
        <v>0</v>
      </c>
    </row>
    <row r="8" spans="1:8" ht="15.75">
      <c r="A8" s="17">
        <v>5</v>
      </c>
      <c r="B8" s="17" t="s">
        <v>43</v>
      </c>
      <c r="C8" s="17" t="s">
        <v>23</v>
      </c>
      <c r="D8" s="17" t="s">
        <v>124</v>
      </c>
      <c r="E8" s="17">
        <v>27</v>
      </c>
      <c r="F8" s="17" t="str">
        <f t="shared" si="0"/>
        <v>0</v>
      </c>
      <c r="G8" s="32" t="str">
        <f t="shared" si="1"/>
        <v>300.000</v>
      </c>
      <c r="H8" s="17" t="str">
        <f t="shared" si="2"/>
        <v>100.000</v>
      </c>
    </row>
    <row r="9" spans="1:8" ht="15.75">
      <c r="A9" s="17">
        <v>6</v>
      </c>
      <c r="B9" s="17" t="s">
        <v>44</v>
      </c>
      <c r="C9" s="17" t="s">
        <v>45</v>
      </c>
      <c r="D9" s="17" t="s">
        <v>123</v>
      </c>
      <c r="E9" s="17">
        <v>25</v>
      </c>
      <c r="F9" s="17" t="str">
        <f t="shared" si="0"/>
        <v>200.000</v>
      </c>
      <c r="G9" s="32" t="str">
        <f t="shared" si="1"/>
        <v>300.000</v>
      </c>
      <c r="H9" s="17">
        <f t="shared" si="2"/>
        <v>0</v>
      </c>
    </row>
  </sheetData>
  <mergeCells count="1">
    <mergeCell ref="A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opLeftCell="A7" workbookViewId="0">
      <selection activeCell="B20" sqref="B20:G20"/>
    </sheetView>
  </sheetViews>
  <sheetFormatPr defaultRowHeight="14.25"/>
  <cols>
    <col min="1" max="1" width="5.25" customWidth="1"/>
    <col min="2" max="2" width="18.25" customWidth="1"/>
    <col min="3" max="3" width="9.625" customWidth="1"/>
    <col min="4" max="4" width="10.5" customWidth="1"/>
    <col min="5" max="5" width="14.5" customWidth="1"/>
    <col min="6" max="6" width="6.625" customWidth="1"/>
    <col min="7" max="7" width="8.875" customWidth="1"/>
    <col min="8" max="8" width="17.25" customWidth="1"/>
    <col min="9" max="9" width="19" customWidth="1"/>
    <col min="10" max="10" width="21" customWidth="1"/>
    <col min="11" max="11" width="20.125" customWidth="1"/>
  </cols>
  <sheetData>
    <row r="1" spans="1:11" ht="16.5" thickBot="1">
      <c r="A1" s="62" t="s">
        <v>1</v>
      </c>
      <c r="B1" s="61" t="s">
        <v>47</v>
      </c>
      <c r="C1" s="61" t="s">
        <v>48</v>
      </c>
      <c r="D1" s="61" t="s">
        <v>49</v>
      </c>
      <c r="E1" s="61" t="s">
        <v>50</v>
      </c>
      <c r="F1" s="61" t="s">
        <v>51</v>
      </c>
      <c r="G1" s="61" t="s">
        <v>88</v>
      </c>
      <c r="H1" s="61" t="s">
        <v>52</v>
      </c>
      <c r="I1" s="61" t="s">
        <v>89</v>
      </c>
      <c r="J1" s="61" t="s">
        <v>53</v>
      </c>
      <c r="K1" s="63" t="s">
        <v>94</v>
      </c>
    </row>
    <row r="2" spans="1:11" ht="16.5" thickTop="1">
      <c r="A2" s="64">
        <v>1</v>
      </c>
      <c r="B2" s="49" t="s">
        <v>54</v>
      </c>
      <c r="C2" s="49" t="s">
        <v>69</v>
      </c>
      <c r="D2" s="49" t="s">
        <v>76</v>
      </c>
      <c r="E2" s="49">
        <v>120000</v>
      </c>
      <c r="F2" s="49">
        <v>25</v>
      </c>
      <c r="G2" s="49">
        <f ca="1">YEAR(TODAY())-YEAR(D2)</f>
        <v>58</v>
      </c>
      <c r="H2" s="65">
        <f>E2*F2</f>
        <v>3000000</v>
      </c>
      <c r="I2" s="66" t="str">
        <f>IF(C2="GĐ","500.000",IF(C2="PGD","400.000",IF(C2="TP","300.000",IF(C2="PP","200.000","100.000"))))</f>
        <v>300.000</v>
      </c>
      <c r="J2" s="65">
        <f>80%*H2</f>
        <v>2400000</v>
      </c>
      <c r="K2" s="65">
        <f>H2+I2-J2</f>
        <v>900000</v>
      </c>
    </row>
    <row r="3" spans="1:11" ht="15.75">
      <c r="A3" s="49">
        <v>2</v>
      </c>
      <c r="B3" s="49" t="s">
        <v>55</v>
      </c>
      <c r="C3" s="49" t="s">
        <v>70</v>
      </c>
      <c r="D3" s="49" t="s">
        <v>77</v>
      </c>
      <c r="E3" s="49">
        <v>160000</v>
      </c>
      <c r="F3" s="49">
        <v>24</v>
      </c>
      <c r="G3" s="49">
        <f t="shared" ref="G3:G16" ca="1" si="0">YEAR(TODAY())-YEAR(D3)</f>
        <v>50</v>
      </c>
      <c r="H3" s="65">
        <f t="shared" ref="H3:H20" si="1">E3*F3</f>
        <v>3840000</v>
      </c>
      <c r="I3" s="67" t="str">
        <f>IF(C3="GĐ","500.000",IF(C3="PGD","400.000",IF(C3="TP","300.000",IF(C3="PP","200.000","100.000"))))</f>
        <v>100.000</v>
      </c>
      <c r="J3" s="65">
        <f t="shared" ref="J3:J16" si="2">80%*H3</f>
        <v>3072000</v>
      </c>
      <c r="K3" s="65">
        <f t="shared" ref="K3:K16" si="3">H3+I3-J3</f>
        <v>868000</v>
      </c>
    </row>
    <row r="4" spans="1:11" ht="15.75">
      <c r="A4" s="49">
        <v>3</v>
      </c>
      <c r="B4" s="49" t="s">
        <v>56</v>
      </c>
      <c r="C4" s="49" t="s">
        <v>71</v>
      </c>
      <c r="D4" s="49" t="s">
        <v>78</v>
      </c>
      <c r="E4" s="49">
        <v>150000</v>
      </c>
      <c r="F4" s="49">
        <v>26</v>
      </c>
      <c r="G4" s="49">
        <f t="shared" ca="1" si="0"/>
        <v>57</v>
      </c>
      <c r="H4" s="65">
        <f t="shared" si="1"/>
        <v>3900000</v>
      </c>
      <c r="I4" s="67" t="str">
        <f t="shared" ref="I3:I20" si="4">IF(C4="GĐ","500.000",IF(C4="PGD","400.000",IF(C4="TP","300.000",IF(C4="PP","200.000","100.000"))))</f>
        <v>200.000</v>
      </c>
      <c r="J4" s="65">
        <f t="shared" si="2"/>
        <v>3120000</v>
      </c>
      <c r="K4" s="65">
        <f t="shared" si="3"/>
        <v>980000</v>
      </c>
    </row>
    <row r="5" spans="1:11" ht="15.75">
      <c r="A5" s="49">
        <v>4</v>
      </c>
      <c r="B5" s="49" t="s">
        <v>57</v>
      </c>
      <c r="C5" s="49" t="s">
        <v>70</v>
      </c>
      <c r="D5" s="49" t="s">
        <v>79</v>
      </c>
      <c r="E5" s="49">
        <v>130000</v>
      </c>
      <c r="F5" s="49">
        <v>20</v>
      </c>
      <c r="G5" s="49">
        <f t="shared" ca="1" si="0"/>
        <v>67</v>
      </c>
      <c r="H5" s="65">
        <f t="shared" si="1"/>
        <v>2600000</v>
      </c>
      <c r="I5" s="67" t="str">
        <f t="shared" si="4"/>
        <v>100.000</v>
      </c>
      <c r="J5" s="65">
        <f t="shared" si="2"/>
        <v>2080000</v>
      </c>
      <c r="K5" s="65">
        <f t="shared" si="3"/>
        <v>620000</v>
      </c>
    </row>
    <row r="6" spans="1:11" ht="15.75">
      <c r="A6" s="49">
        <v>5</v>
      </c>
      <c r="B6" s="49" t="s">
        <v>58</v>
      </c>
      <c r="C6" s="49" t="s">
        <v>72</v>
      </c>
      <c r="D6" s="49" t="s">
        <v>80</v>
      </c>
      <c r="E6" s="49">
        <v>180000</v>
      </c>
      <c r="F6" s="49">
        <v>23</v>
      </c>
      <c r="G6" s="49">
        <f t="shared" ca="1" si="0"/>
        <v>47</v>
      </c>
      <c r="H6" s="65">
        <f t="shared" si="1"/>
        <v>4140000</v>
      </c>
      <c r="I6" s="67" t="str">
        <f t="shared" si="4"/>
        <v>100.000</v>
      </c>
      <c r="J6" s="65">
        <f t="shared" si="2"/>
        <v>3312000</v>
      </c>
      <c r="K6" s="65">
        <f t="shared" si="3"/>
        <v>928000</v>
      </c>
    </row>
    <row r="7" spans="1:11" ht="15.75">
      <c r="A7" s="49">
        <v>6</v>
      </c>
      <c r="B7" s="49" t="s">
        <v>59</v>
      </c>
      <c r="C7" s="49" t="s">
        <v>73</v>
      </c>
      <c r="D7" s="49" t="s">
        <v>81</v>
      </c>
      <c r="E7" s="49">
        <v>150000</v>
      </c>
      <c r="F7" s="49">
        <v>24</v>
      </c>
      <c r="G7" s="49">
        <f t="shared" ca="1" si="0"/>
        <v>56</v>
      </c>
      <c r="H7" s="65">
        <f t="shared" si="1"/>
        <v>3600000</v>
      </c>
      <c r="I7" s="67" t="str">
        <f t="shared" si="4"/>
        <v>100.000</v>
      </c>
      <c r="J7" s="65">
        <f t="shared" si="2"/>
        <v>2880000</v>
      </c>
      <c r="K7" s="65">
        <f t="shared" si="3"/>
        <v>820000</v>
      </c>
    </row>
    <row r="8" spans="1:11" ht="15.75">
      <c r="A8" s="49">
        <v>7</v>
      </c>
      <c r="B8" s="49" t="s">
        <v>60</v>
      </c>
      <c r="C8" s="49" t="s">
        <v>71</v>
      </c>
      <c r="D8" s="49" t="s">
        <v>82</v>
      </c>
      <c r="E8" s="49">
        <v>140000</v>
      </c>
      <c r="F8" s="49">
        <v>27</v>
      </c>
      <c r="G8" s="49">
        <f t="shared" ca="1" si="0"/>
        <v>56</v>
      </c>
      <c r="H8" s="65">
        <f t="shared" si="1"/>
        <v>3780000</v>
      </c>
      <c r="I8" s="67" t="str">
        <f t="shared" si="4"/>
        <v>200.000</v>
      </c>
      <c r="J8" s="65">
        <f t="shared" si="2"/>
        <v>3024000</v>
      </c>
      <c r="K8" s="65">
        <f t="shared" si="3"/>
        <v>956000</v>
      </c>
    </row>
    <row r="9" spans="1:11" ht="15.75">
      <c r="A9" s="49">
        <v>8</v>
      </c>
      <c r="B9" s="49" t="s">
        <v>61</v>
      </c>
      <c r="C9" s="49" t="s">
        <v>74</v>
      </c>
      <c r="D9" s="68">
        <v>20648</v>
      </c>
      <c r="E9" s="49">
        <v>160000</v>
      </c>
      <c r="F9" s="49">
        <v>14</v>
      </c>
      <c r="G9" s="49">
        <f t="shared" ca="1" si="0"/>
        <v>69</v>
      </c>
      <c r="H9" s="65">
        <f t="shared" si="1"/>
        <v>2240000</v>
      </c>
      <c r="I9" s="67" t="str">
        <f t="shared" si="4"/>
        <v>500.000</v>
      </c>
      <c r="J9" s="65">
        <f t="shared" si="2"/>
        <v>1792000</v>
      </c>
      <c r="K9" s="65">
        <f t="shared" si="3"/>
        <v>948000</v>
      </c>
    </row>
    <row r="10" spans="1:11" ht="15.75">
      <c r="A10" s="49">
        <v>9</v>
      </c>
      <c r="B10" s="49" t="s">
        <v>62</v>
      </c>
      <c r="C10" s="49" t="s">
        <v>73</v>
      </c>
      <c r="D10" s="68">
        <v>22046</v>
      </c>
      <c r="E10" s="49">
        <v>150000</v>
      </c>
      <c r="F10" s="49">
        <v>17</v>
      </c>
      <c r="G10" s="49">
        <f t="shared" ca="1" si="0"/>
        <v>65</v>
      </c>
      <c r="H10" s="65">
        <f t="shared" si="1"/>
        <v>2550000</v>
      </c>
      <c r="I10" s="67" t="str">
        <f t="shared" si="4"/>
        <v>100.000</v>
      </c>
      <c r="J10" s="65">
        <f t="shared" si="2"/>
        <v>2040000</v>
      </c>
      <c r="K10" s="65">
        <f t="shared" si="3"/>
        <v>610000</v>
      </c>
    </row>
    <row r="11" spans="1:11" ht="15.75">
      <c r="A11" s="49">
        <v>10</v>
      </c>
      <c r="B11" s="49" t="s">
        <v>63</v>
      </c>
      <c r="C11" s="49" t="s">
        <v>70</v>
      </c>
      <c r="D11" s="49" t="s">
        <v>83</v>
      </c>
      <c r="E11" s="49">
        <v>130000</v>
      </c>
      <c r="F11" s="49">
        <v>23</v>
      </c>
      <c r="G11" s="49">
        <f t="shared" ca="1" si="0"/>
        <v>71</v>
      </c>
      <c r="H11" s="65">
        <f t="shared" si="1"/>
        <v>2990000</v>
      </c>
      <c r="I11" s="67" t="str">
        <f t="shared" si="4"/>
        <v>100.000</v>
      </c>
      <c r="J11" s="65">
        <f t="shared" si="2"/>
        <v>2392000</v>
      </c>
      <c r="K11" s="65">
        <f t="shared" si="3"/>
        <v>698000</v>
      </c>
    </row>
    <row r="12" spans="1:11" ht="15.75">
      <c r="A12" s="49">
        <v>11</v>
      </c>
      <c r="B12" s="49" t="s">
        <v>64</v>
      </c>
      <c r="C12" s="49" t="s">
        <v>69</v>
      </c>
      <c r="D12" s="49" t="s">
        <v>84</v>
      </c>
      <c r="E12" s="49">
        <v>180000</v>
      </c>
      <c r="F12" s="49">
        <v>22</v>
      </c>
      <c r="G12" s="49">
        <f t="shared" ca="1" si="0"/>
        <v>58</v>
      </c>
      <c r="H12" s="65">
        <f t="shared" si="1"/>
        <v>3960000</v>
      </c>
      <c r="I12" s="67" t="str">
        <f t="shared" si="4"/>
        <v>300.000</v>
      </c>
      <c r="J12" s="65">
        <f t="shared" si="2"/>
        <v>3168000</v>
      </c>
      <c r="K12" s="65">
        <f t="shared" si="3"/>
        <v>1092000</v>
      </c>
    </row>
    <row r="13" spans="1:11" ht="15.75">
      <c r="A13" s="49">
        <v>12</v>
      </c>
      <c r="B13" s="49" t="s">
        <v>65</v>
      </c>
      <c r="C13" s="49" t="s">
        <v>70</v>
      </c>
      <c r="D13" s="49" t="s">
        <v>85</v>
      </c>
      <c r="E13" s="49">
        <v>150000</v>
      </c>
      <c r="F13" s="49">
        <v>14</v>
      </c>
      <c r="G13" s="49">
        <f t="shared" ca="1" si="0"/>
        <v>56</v>
      </c>
      <c r="H13" s="65">
        <f t="shared" si="1"/>
        <v>2100000</v>
      </c>
      <c r="I13" s="67" t="str">
        <f t="shared" si="4"/>
        <v>100.000</v>
      </c>
      <c r="J13" s="65">
        <f t="shared" si="2"/>
        <v>1680000</v>
      </c>
      <c r="K13" s="65">
        <f t="shared" si="3"/>
        <v>520000</v>
      </c>
    </row>
    <row r="14" spans="1:11" ht="15.75">
      <c r="A14" s="49">
        <v>13</v>
      </c>
      <c r="B14" s="49" t="s">
        <v>66</v>
      </c>
      <c r="C14" s="49" t="s">
        <v>75</v>
      </c>
      <c r="D14" s="68">
        <v>21467</v>
      </c>
      <c r="E14" s="49">
        <v>180000</v>
      </c>
      <c r="F14" s="49">
        <v>23</v>
      </c>
      <c r="G14" s="49">
        <f t="shared" ca="1" si="0"/>
        <v>67</v>
      </c>
      <c r="H14" s="65">
        <f t="shared" si="1"/>
        <v>4140000</v>
      </c>
      <c r="I14" s="67" t="str">
        <f t="shared" si="4"/>
        <v>100.000</v>
      </c>
      <c r="J14" s="65">
        <f t="shared" si="2"/>
        <v>3312000</v>
      </c>
      <c r="K14" s="65">
        <f t="shared" si="3"/>
        <v>928000</v>
      </c>
    </row>
    <row r="15" spans="1:11" ht="15.75">
      <c r="A15" s="49">
        <v>14</v>
      </c>
      <c r="B15" s="49" t="s">
        <v>67</v>
      </c>
      <c r="C15" s="49" t="s">
        <v>69</v>
      </c>
      <c r="D15" s="49" t="s">
        <v>86</v>
      </c>
      <c r="E15" s="49">
        <v>160000</v>
      </c>
      <c r="F15" s="49">
        <v>27</v>
      </c>
      <c r="G15" s="49">
        <f t="shared" ca="1" si="0"/>
        <v>71</v>
      </c>
      <c r="H15" s="65">
        <f t="shared" si="1"/>
        <v>4320000</v>
      </c>
      <c r="I15" s="67" t="str">
        <f t="shared" si="4"/>
        <v>300.000</v>
      </c>
      <c r="J15" s="65">
        <f t="shared" si="2"/>
        <v>3456000</v>
      </c>
      <c r="K15" s="65">
        <f t="shared" si="3"/>
        <v>1164000</v>
      </c>
    </row>
    <row r="16" spans="1:11" ht="15.75">
      <c r="A16" s="49">
        <v>15</v>
      </c>
      <c r="B16" s="49" t="s">
        <v>68</v>
      </c>
      <c r="C16" s="49" t="s">
        <v>73</v>
      </c>
      <c r="D16" s="49" t="s">
        <v>87</v>
      </c>
      <c r="E16" s="49">
        <v>130000</v>
      </c>
      <c r="F16" s="49">
        <v>26</v>
      </c>
      <c r="G16" s="49">
        <f t="shared" ca="1" si="0"/>
        <v>57</v>
      </c>
      <c r="H16" s="65">
        <f t="shared" si="1"/>
        <v>3380000</v>
      </c>
      <c r="I16" s="67" t="str">
        <f t="shared" si="4"/>
        <v>100.000</v>
      </c>
      <c r="J16" s="65">
        <f t="shared" si="2"/>
        <v>2704000</v>
      </c>
      <c r="K16" s="65">
        <f t="shared" si="3"/>
        <v>776000</v>
      </c>
    </row>
    <row r="17" spans="1:11" ht="15.75">
      <c r="A17" s="61"/>
      <c r="B17" s="69" t="s">
        <v>90</v>
      </c>
      <c r="C17" s="70"/>
      <c r="D17" s="70"/>
      <c r="E17" s="70"/>
      <c r="F17" s="70"/>
      <c r="G17" s="71"/>
      <c r="H17" s="65">
        <f>SUM(H2:H16)</f>
        <v>50540000</v>
      </c>
      <c r="I17" s="67">
        <f>SUM(I2:I16)</f>
        <v>0</v>
      </c>
      <c r="J17" s="65">
        <f t="shared" ref="I17:K17" si="5">SUM(J2:J16)</f>
        <v>40432000</v>
      </c>
      <c r="K17" s="65">
        <f t="shared" si="5"/>
        <v>12808000</v>
      </c>
    </row>
    <row r="18" spans="1:11" ht="15.75">
      <c r="A18" s="61"/>
      <c r="B18" s="69" t="s">
        <v>91</v>
      </c>
      <c r="C18" s="70"/>
      <c r="D18" s="70"/>
      <c r="E18" s="70"/>
      <c r="F18" s="70"/>
      <c r="G18" s="71"/>
      <c r="H18" s="65">
        <f>AVERAGE(H2:H16)</f>
        <v>3369333.3333333335</v>
      </c>
      <c r="I18" s="67" t="str">
        <f t="shared" si="4"/>
        <v>100.000</v>
      </c>
      <c r="J18" s="65">
        <f t="shared" ref="I18:K18" si="6">AVERAGE(J2:J16)</f>
        <v>2695466.6666666665</v>
      </c>
      <c r="K18" s="65">
        <f t="shared" si="6"/>
        <v>853866.66666666663</v>
      </c>
    </row>
    <row r="19" spans="1:11" ht="15.75">
      <c r="A19" s="61"/>
      <c r="B19" s="72" t="s">
        <v>92</v>
      </c>
      <c r="C19" s="73"/>
      <c r="D19" s="73"/>
      <c r="E19" s="73"/>
      <c r="F19" s="73"/>
      <c r="G19" s="74"/>
      <c r="H19" s="65">
        <f>MAX(H2:H16)</f>
        <v>4320000</v>
      </c>
      <c r="I19" s="67" t="str">
        <f t="shared" si="4"/>
        <v>100.000</v>
      </c>
      <c r="J19" s="65">
        <f t="shared" ref="I19:K19" si="7">MAX(J2:J16)</f>
        <v>3456000</v>
      </c>
      <c r="K19" s="65">
        <f t="shared" si="7"/>
        <v>1164000</v>
      </c>
    </row>
    <row r="20" spans="1:11" ht="15.75">
      <c r="A20" s="61"/>
      <c r="B20" s="72" t="s">
        <v>93</v>
      </c>
      <c r="C20" s="73"/>
      <c r="D20" s="73"/>
      <c r="E20" s="73"/>
      <c r="F20" s="73"/>
      <c r="G20" s="74"/>
      <c r="H20" s="65">
        <f>MIN(H2:H16)</f>
        <v>2100000</v>
      </c>
      <c r="I20" s="67" t="str">
        <f t="shared" si="4"/>
        <v>100.000</v>
      </c>
      <c r="J20" s="65">
        <f t="shared" ref="I20:K20" si="8">MIN(J2:J16)</f>
        <v>1680000</v>
      </c>
      <c r="K20" s="65">
        <f t="shared" si="8"/>
        <v>520000</v>
      </c>
    </row>
  </sheetData>
  <mergeCells count="4">
    <mergeCell ref="B17:G17"/>
    <mergeCell ref="B18:G18"/>
    <mergeCell ref="B19:G19"/>
    <mergeCell ref="B20:G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workbookViewId="0">
      <selection activeCell="E18" sqref="E18"/>
    </sheetView>
  </sheetViews>
  <sheetFormatPr defaultRowHeight="14.25"/>
  <cols>
    <col min="1" max="1" width="4.5" customWidth="1"/>
    <col min="2" max="2" width="10.875" customWidth="1"/>
    <col min="3" max="3" width="18.125" customWidth="1"/>
    <col min="4" max="4" width="11.5" customWidth="1"/>
    <col min="5" max="5" width="11.25" customWidth="1"/>
    <col min="6" max="6" width="12.375" customWidth="1"/>
    <col min="7" max="7" width="11.625" customWidth="1"/>
    <col min="8" max="8" width="10.5" customWidth="1"/>
    <col min="9" max="9" width="11.5" customWidth="1"/>
    <col min="10" max="10" width="9.5" customWidth="1"/>
  </cols>
  <sheetData>
    <row r="1" spans="1:18" ht="15.75">
      <c r="A1" s="46" t="s">
        <v>1</v>
      </c>
      <c r="B1" s="46" t="s">
        <v>95</v>
      </c>
      <c r="C1" s="46" t="s">
        <v>96</v>
      </c>
      <c r="D1" s="47" t="s">
        <v>97</v>
      </c>
      <c r="E1" s="46" t="s">
        <v>98</v>
      </c>
      <c r="F1" s="48" t="s">
        <v>99</v>
      </c>
      <c r="G1" s="46" t="s">
        <v>100</v>
      </c>
      <c r="H1" s="46" t="s">
        <v>101</v>
      </c>
      <c r="I1" s="46" t="s">
        <v>102</v>
      </c>
      <c r="J1" s="46" t="s">
        <v>103</v>
      </c>
      <c r="K1" s="6"/>
      <c r="L1" s="6"/>
      <c r="M1" s="5"/>
      <c r="N1" s="5"/>
      <c r="O1" s="5"/>
      <c r="P1" s="5"/>
      <c r="Q1" s="5"/>
      <c r="R1" s="5"/>
    </row>
    <row r="2" spans="1:18" ht="15.75">
      <c r="A2" s="49">
        <v>1</v>
      </c>
      <c r="B2" s="49" t="s">
        <v>104</v>
      </c>
      <c r="C2" s="49" t="str">
        <f>VLOOKUP(LEFT(B2,2),$B$14:$F$17,2,0)</f>
        <v>Máy lạnh Panasonic</v>
      </c>
      <c r="D2" s="50">
        <f>VLOOKUP(LEFT(B2,2),$B$14:$F$17,3,0)</f>
        <v>300</v>
      </c>
      <c r="E2" s="49">
        <f>VLOOKUP(LEFT(B2,2),$B$14:$F$17,4,0)</f>
        <v>130</v>
      </c>
      <c r="F2" s="51">
        <f>D2*E2</f>
        <v>39000</v>
      </c>
      <c r="G2" s="49">
        <f>IF(MID(B2,4,1)="A",D2+15,D2+12)</f>
        <v>315</v>
      </c>
      <c r="H2" s="49">
        <f>VLOOKUP(LEFT(B2,2),$B$14:$F$17,5,0)</f>
        <v>100</v>
      </c>
      <c r="I2" s="49">
        <f>G2*H2</f>
        <v>31500</v>
      </c>
      <c r="J2" s="49" t="str">
        <f>IF(E2-H2&gt;=60,"Bán chậm",IF(E2-H2&gt;=30,"Bán được","Bán chạy"))</f>
        <v>Bán được</v>
      </c>
      <c r="K2" s="6"/>
      <c r="L2" s="6"/>
      <c r="M2" s="5"/>
      <c r="N2" s="5"/>
      <c r="O2" s="5"/>
      <c r="P2" s="5"/>
      <c r="Q2" s="5"/>
      <c r="R2" s="5"/>
    </row>
    <row r="3" spans="1:18" ht="15.75">
      <c r="A3" s="49">
        <v>2</v>
      </c>
      <c r="B3" s="49" t="s">
        <v>105</v>
      </c>
      <c r="C3" s="49" t="str">
        <f t="shared" ref="C3:C9" si="0">VLOOKUP(LEFT(B3,2),$B$14:$F$17,2,0)</f>
        <v>Máy lạnh Panasonic</v>
      </c>
      <c r="D3" s="50">
        <f t="shared" ref="D3:D9" si="1">VLOOKUP(LEFT(B3,2),$B$14:$F$17,3,0)</f>
        <v>300</v>
      </c>
      <c r="E3" s="49">
        <f t="shared" ref="E3:E9" si="2">VLOOKUP(LEFT(B3,2),$B$14:$F$17,4,0)</f>
        <v>130</v>
      </c>
      <c r="F3" s="51">
        <f t="shared" ref="F3:F9" si="3">D3*E3</f>
        <v>39000</v>
      </c>
      <c r="G3" s="49">
        <f t="shared" ref="G3:G9" si="4">IF(MID(B3,4,1)="A",D3+15,D3+12)</f>
        <v>312</v>
      </c>
      <c r="H3" s="49">
        <f t="shared" ref="H3:H9" si="5">VLOOKUP(LEFT(B3,2),$B$14:$F$17,5,0)</f>
        <v>100</v>
      </c>
      <c r="I3" s="49">
        <f t="shared" ref="I3:I9" si="6">G3*H3</f>
        <v>31200</v>
      </c>
      <c r="J3" s="49" t="str">
        <f t="shared" ref="J3:J9" si="7">IF(E3-H3&gt;=60,"Bán chậm",IF(E3-H3&gt;=30,"Bán được","Bán chạy"))</f>
        <v>Bán được</v>
      </c>
      <c r="K3" s="6"/>
      <c r="L3" s="6"/>
      <c r="M3" s="5"/>
      <c r="N3" s="5"/>
      <c r="O3" s="5"/>
      <c r="P3" s="5"/>
      <c r="Q3" s="5"/>
      <c r="R3" s="5"/>
    </row>
    <row r="4" spans="1:18" ht="15.75">
      <c r="A4" s="49">
        <v>3</v>
      </c>
      <c r="B4" s="49" t="s">
        <v>106</v>
      </c>
      <c r="C4" s="49" t="str">
        <f t="shared" si="0"/>
        <v>Máy lạnh Sanyo</v>
      </c>
      <c r="D4" s="50">
        <f t="shared" si="1"/>
        <v>210</v>
      </c>
      <c r="E4" s="49">
        <f t="shared" si="2"/>
        <v>126</v>
      </c>
      <c r="F4" s="51">
        <f t="shared" si="3"/>
        <v>26460</v>
      </c>
      <c r="G4" s="49">
        <f t="shared" si="4"/>
        <v>222</v>
      </c>
      <c r="H4" s="49">
        <f t="shared" si="5"/>
        <v>85</v>
      </c>
      <c r="I4" s="49">
        <f t="shared" si="6"/>
        <v>18870</v>
      </c>
      <c r="J4" s="49" t="str">
        <f t="shared" si="7"/>
        <v>Bán được</v>
      </c>
      <c r="K4" s="6"/>
      <c r="L4" s="6"/>
      <c r="M4" s="5"/>
      <c r="N4" s="5"/>
      <c r="O4" s="5"/>
      <c r="P4" s="5"/>
      <c r="Q4" s="5"/>
      <c r="R4" s="5"/>
    </row>
    <row r="5" spans="1:18" ht="15.75">
      <c r="A5" s="49">
        <v>4</v>
      </c>
      <c r="B5" s="49" t="s">
        <v>107</v>
      </c>
      <c r="C5" s="49" t="str">
        <f t="shared" si="0"/>
        <v>Máy lạnh Toshiba</v>
      </c>
      <c r="D5" s="50">
        <f t="shared" si="1"/>
        <v>250</v>
      </c>
      <c r="E5" s="49">
        <f t="shared" si="2"/>
        <v>90</v>
      </c>
      <c r="F5" s="51">
        <f t="shared" si="3"/>
        <v>22500</v>
      </c>
      <c r="G5" s="49">
        <f t="shared" si="4"/>
        <v>262</v>
      </c>
      <c r="H5" s="49">
        <f t="shared" si="5"/>
        <v>60</v>
      </c>
      <c r="I5" s="49">
        <f t="shared" si="6"/>
        <v>15720</v>
      </c>
      <c r="J5" s="49" t="str">
        <f t="shared" si="7"/>
        <v>Bán được</v>
      </c>
      <c r="K5" s="6"/>
      <c r="L5" s="6"/>
      <c r="M5" s="5"/>
      <c r="N5" s="5"/>
      <c r="O5" s="5"/>
      <c r="P5" s="5"/>
      <c r="Q5" s="5"/>
      <c r="R5" s="5"/>
    </row>
    <row r="6" spans="1:18" ht="15.75">
      <c r="A6" s="49">
        <v>5</v>
      </c>
      <c r="B6" s="52" t="s">
        <v>108</v>
      </c>
      <c r="C6" s="49" t="str">
        <f t="shared" si="0"/>
        <v>Máy lạnh Hitachi</v>
      </c>
      <c r="D6" s="50">
        <f t="shared" si="1"/>
        <v>220</v>
      </c>
      <c r="E6" s="49">
        <f t="shared" si="2"/>
        <v>70</v>
      </c>
      <c r="F6" s="51">
        <f t="shared" si="3"/>
        <v>15400</v>
      </c>
      <c r="G6" s="49">
        <f t="shared" si="4"/>
        <v>232</v>
      </c>
      <c r="H6" s="49">
        <f t="shared" si="5"/>
        <v>30</v>
      </c>
      <c r="I6" s="49">
        <f t="shared" si="6"/>
        <v>6960</v>
      </c>
      <c r="J6" s="49" t="str">
        <f t="shared" si="7"/>
        <v>Bán được</v>
      </c>
      <c r="K6" s="6"/>
      <c r="L6" s="6"/>
      <c r="M6" s="5"/>
      <c r="N6" s="5"/>
      <c r="O6" s="5"/>
      <c r="P6" s="5"/>
      <c r="Q6" s="5"/>
      <c r="R6" s="5"/>
    </row>
    <row r="7" spans="1:18" ht="15.75">
      <c r="A7" s="49">
        <v>6</v>
      </c>
      <c r="B7" s="52" t="s">
        <v>109</v>
      </c>
      <c r="C7" s="49" t="str">
        <f t="shared" si="0"/>
        <v>Máy lạnh Hitachi</v>
      </c>
      <c r="D7" s="50">
        <f t="shared" si="1"/>
        <v>220</v>
      </c>
      <c r="E7" s="49">
        <f t="shared" si="2"/>
        <v>70</v>
      </c>
      <c r="F7" s="51">
        <f t="shared" si="3"/>
        <v>15400</v>
      </c>
      <c r="G7" s="49">
        <f t="shared" si="4"/>
        <v>235</v>
      </c>
      <c r="H7" s="49">
        <f t="shared" si="5"/>
        <v>30</v>
      </c>
      <c r="I7" s="49">
        <f t="shared" si="6"/>
        <v>7050</v>
      </c>
      <c r="J7" s="49" t="str">
        <f t="shared" si="7"/>
        <v>Bán được</v>
      </c>
      <c r="K7" s="6"/>
      <c r="L7" s="6"/>
      <c r="M7" s="5"/>
      <c r="N7" s="5"/>
      <c r="O7" s="5"/>
      <c r="P7" s="5"/>
      <c r="Q7" s="5"/>
      <c r="R7" s="5"/>
    </row>
    <row r="8" spans="1:18" ht="15.75">
      <c r="A8" s="49">
        <v>7</v>
      </c>
      <c r="B8" s="52" t="s">
        <v>110</v>
      </c>
      <c r="C8" s="49" t="str">
        <f t="shared" si="0"/>
        <v>Máy lạnh Toshiba</v>
      </c>
      <c r="D8" s="50">
        <f t="shared" si="1"/>
        <v>250</v>
      </c>
      <c r="E8" s="49">
        <f t="shared" si="2"/>
        <v>90</v>
      </c>
      <c r="F8" s="51">
        <f t="shared" si="3"/>
        <v>22500</v>
      </c>
      <c r="G8" s="49">
        <f t="shared" si="4"/>
        <v>262</v>
      </c>
      <c r="H8" s="49">
        <f t="shared" si="5"/>
        <v>60</v>
      </c>
      <c r="I8" s="49">
        <f t="shared" si="6"/>
        <v>15720</v>
      </c>
      <c r="J8" s="49" t="str">
        <f t="shared" si="7"/>
        <v>Bán được</v>
      </c>
      <c r="K8" s="3"/>
      <c r="L8" s="3"/>
    </row>
    <row r="9" spans="1:18" ht="15.75">
      <c r="A9" s="49">
        <v>8</v>
      </c>
      <c r="B9" s="52" t="s">
        <v>106</v>
      </c>
      <c r="C9" s="49" t="str">
        <f t="shared" si="0"/>
        <v>Máy lạnh Sanyo</v>
      </c>
      <c r="D9" s="50">
        <f t="shared" si="1"/>
        <v>210</v>
      </c>
      <c r="E9" s="49">
        <f t="shared" si="2"/>
        <v>126</v>
      </c>
      <c r="F9" s="51">
        <f t="shared" si="3"/>
        <v>26460</v>
      </c>
      <c r="G9" s="49">
        <f t="shared" si="4"/>
        <v>222</v>
      </c>
      <c r="H9" s="49">
        <f t="shared" si="5"/>
        <v>85</v>
      </c>
      <c r="I9" s="49">
        <f t="shared" si="6"/>
        <v>18870</v>
      </c>
      <c r="J9" s="49" t="str">
        <f t="shared" si="7"/>
        <v>Bán được</v>
      </c>
      <c r="K9" s="3"/>
      <c r="L9" s="3"/>
    </row>
    <row r="10" spans="1:18" ht="15.75">
      <c r="A10" s="53" t="s">
        <v>111</v>
      </c>
      <c r="B10" s="53"/>
      <c r="C10" s="53"/>
      <c r="D10" s="49"/>
      <c r="E10" s="49"/>
      <c r="F10" s="60">
        <f>SUM(F2:F9)</f>
        <v>206720</v>
      </c>
      <c r="G10" s="49"/>
      <c r="H10" s="49"/>
      <c r="I10" s="49">
        <f>SUM(I2:I9)</f>
        <v>145890</v>
      </c>
      <c r="J10" s="49"/>
      <c r="K10" s="3"/>
      <c r="L10" s="3"/>
    </row>
    <row r="11" spans="1:18">
      <c r="A11" s="4"/>
      <c r="B11" s="5"/>
      <c r="C11" s="5"/>
      <c r="D11" s="5"/>
      <c r="E11" s="5"/>
      <c r="F11" s="4"/>
      <c r="G11" s="58"/>
      <c r="H11" s="5"/>
    </row>
    <row r="12" spans="1:18" ht="15.75">
      <c r="A12" s="7"/>
      <c r="B12" s="54" t="s">
        <v>114</v>
      </c>
      <c r="C12" s="56"/>
      <c r="D12" s="56"/>
      <c r="E12" s="56"/>
      <c r="F12" s="57"/>
      <c r="G12" s="5"/>
      <c r="H12" s="5"/>
    </row>
    <row r="13" spans="1:18" ht="15.75">
      <c r="A13" s="9"/>
      <c r="B13" s="55" t="s">
        <v>112</v>
      </c>
      <c r="C13" s="46" t="s">
        <v>96</v>
      </c>
      <c r="D13" s="48" t="s">
        <v>113</v>
      </c>
      <c r="E13" s="46" t="s">
        <v>98</v>
      </c>
      <c r="F13" s="46" t="s">
        <v>101</v>
      </c>
      <c r="G13" s="8"/>
      <c r="H13" s="5"/>
    </row>
    <row r="14" spans="1:18" ht="15.75">
      <c r="A14" s="1"/>
      <c r="B14" s="59" t="s">
        <v>115</v>
      </c>
      <c r="C14" s="49" t="s">
        <v>119</v>
      </c>
      <c r="D14" s="51">
        <v>300</v>
      </c>
      <c r="E14" s="49">
        <v>130</v>
      </c>
      <c r="F14" s="49">
        <v>100</v>
      </c>
      <c r="G14" s="5"/>
      <c r="H14" s="5"/>
    </row>
    <row r="15" spans="1:18" ht="15.75">
      <c r="B15" s="49" t="s">
        <v>116</v>
      </c>
      <c r="C15" s="49" t="s">
        <v>120</v>
      </c>
      <c r="D15" s="51">
        <v>250</v>
      </c>
      <c r="E15" s="49">
        <v>90</v>
      </c>
      <c r="F15" s="49">
        <v>60</v>
      </c>
      <c r="G15" s="5"/>
      <c r="H15" s="5"/>
    </row>
    <row r="16" spans="1:18" ht="15.75">
      <c r="B16" s="49" t="s">
        <v>117</v>
      </c>
      <c r="C16" s="49" t="s">
        <v>121</v>
      </c>
      <c r="D16" s="51">
        <v>210</v>
      </c>
      <c r="E16" s="49">
        <v>126</v>
      </c>
      <c r="F16" s="49">
        <v>85</v>
      </c>
      <c r="G16" s="5"/>
      <c r="H16" s="5"/>
    </row>
    <row r="17" spans="1:8" ht="15.75">
      <c r="B17" s="49" t="s">
        <v>118</v>
      </c>
      <c r="C17" s="49" t="s">
        <v>122</v>
      </c>
      <c r="D17" s="51">
        <v>220</v>
      </c>
      <c r="E17" s="49">
        <v>70</v>
      </c>
      <c r="F17" s="49">
        <v>30</v>
      </c>
      <c r="G17" s="5"/>
      <c r="H17" s="5"/>
    </row>
    <row r="18" spans="1:8">
      <c r="A18" s="5"/>
      <c r="B18" s="5"/>
      <c r="C18" s="5"/>
      <c r="D18" s="5"/>
      <c r="E18" s="5"/>
      <c r="F18" s="5"/>
      <c r="G18" s="5"/>
      <c r="H18" s="5"/>
    </row>
    <row r="19" spans="1:8">
      <c r="A19" s="5"/>
      <c r="B19" s="5"/>
      <c r="C19" s="5"/>
      <c r="D19" s="5"/>
      <c r="E19" s="5"/>
      <c r="F19" s="5"/>
    </row>
  </sheetData>
  <autoFilter ref="I2:I10"/>
  <mergeCells count="2">
    <mergeCell ref="A10:C10"/>
    <mergeCell ref="B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 Luong</dc:creator>
  <cp:lastModifiedBy>ADMIN</cp:lastModifiedBy>
  <dcterms:created xsi:type="dcterms:W3CDTF">2025-12-23T02:18:20Z</dcterms:created>
  <dcterms:modified xsi:type="dcterms:W3CDTF">2025-12-24T02:52:48Z</dcterms:modified>
</cp:coreProperties>
</file>