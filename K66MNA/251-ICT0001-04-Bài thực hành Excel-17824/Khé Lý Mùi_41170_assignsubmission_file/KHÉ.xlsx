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072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19" i="1" s="1"/>
  <c r="I15" i="1"/>
  <c r="J15" i="1" s="1"/>
  <c r="I14" i="1"/>
  <c r="I13" i="1"/>
  <c r="J13" i="1" s="1"/>
  <c r="I12" i="1"/>
  <c r="I11" i="1"/>
  <c r="I10" i="1"/>
  <c r="I9" i="1"/>
  <c r="I8" i="1"/>
  <c r="I7" i="1"/>
  <c r="I6" i="1"/>
  <c r="K6" i="1" s="1"/>
  <c r="L6" i="1" s="1"/>
  <c r="I5" i="1"/>
  <c r="K5" i="1" s="1"/>
  <c r="L5" i="1" s="1"/>
  <c r="K8" i="1" l="1"/>
  <c r="L8" i="1" s="1"/>
  <c r="K11" i="1"/>
  <c r="L11" i="1" s="1"/>
  <c r="K10" i="1"/>
  <c r="L10" i="1" s="1"/>
  <c r="K14" i="1"/>
  <c r="L14" i="1" s="1"/>
  <c r="K7" i="1"/>
  <c r="L7" i="1" s="1"/>
  <c r="K9" i="1"/>
  <c r="L9" i="1" s="1"/>
  <c r="K12" i="1"/>
  <c r="L12" i="1" s="1"/>
  <c r="J6" i="1"/>
  <c r="J12" i="1"/>
  <c r="K15" i="1"/>
  <c r="L15" i="1" s="1"/>
  <c r="K13" i="1"/>
  <c r="L13" i="1" s="1"/>
  <c r="J9" i="1"/>
  <c r="J7" i="1"/>
  <c r="J10" i="1"/>
  <c r="J16" i="1"/>
  <c r="K16" i="1"/>
  <c r="L16" i="1" s="1"/>
  <c r="I17" i="1"/>
  <c r="J5" i="1"/>
  <c r="J8" i="1"/>
  <c r="J11" i="1"/>
  <c r="J14" i="1"/>
  <c r="I18" i="1"/>
</calcChain>
</file>

<file path=xl/sharedStrings.xml><?xml version="1.0" encoding="utf-8"?>
<sst xmlns="http://schemas.openxmlformats.org/spreadsheetml/2006/main" count="183" uniqueCount="115">
  <si>
    <t>Bài 1</t>
  </si>
  <si>
    <t>Bảng tính 1:</t>
  </si>
  <si>
    <t>KẾT QUẢ THI CUỐI KHÓA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</si>
  <si>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</si>
  <si>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</si>
  <si>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</si>
  <si>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</si>
  <si>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</si>
  <si>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</si>
  <si>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</si>
  <si>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</si>
  <si>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</si>
  <si>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</si>
  <si>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NAM</t>
  </si>
  <si>
    <t>HẢI</t>
  </si>
  <si>
    <t>HIỆP</t>
  </si>
  <si>
    <t>KHEN THƯỞNG</t>
  </si>
  <si>
    <t xml:space="preserve">LÂM </t>
  </si>
  <si>
    <t>THẢO</t>
  </si>
  <si>
    <t>NỮ</t>
  </si>
  <si>
    <t>MINH</t>
  </si>
  <si>
    <t>HỒNG</t>
  </si>
  <si>
    <t xml:space="preserve">LINH </t>
  </si>
  <si>
    <t>DIỄM</t>
  </si>
  <si>
    <t>NGA</t>
  </si>
  <si>
    <t>KHOA</t>
  </si>
  <si>
    <t>SƠN</t>
  </si>
  <si>
    <t>TRUNG BÌNH</t>
  </si>
  <si>
    <t>CAO NHẤT</t>
  </si>
  <si>
    <t>THẤP NHẤT</t>
  </si>
  <si>
    <t>MÃ HÀNG</t>
  </si>
  <si>
    <t xml:space="preserve">TÊN HÀNG 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</si>
  <si>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</si>
  <si>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</si>
  <si>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</si>
  <si>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</si>
  <si>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</si>
  <si>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</si>
  <si>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</si>
  <si>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</si>
  <si>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Pa0C15</t>
  </si>
  <si>
    <t>Sa0B2</t>
  </si>
  <si>
    <t>To0C23</t>
  </si>
  <si>
    <t>Hi0C12</t>
  </si>
  <si>
    <t>Hi0A13</t>
  </si>
  <si>
    <t>To0B12</t>
  </si>
  <si>
    <t>CỘNG</t>
  </si>
  <si>
    <t>Bảng tra dữ liệu các loại máy lạnh:</t>
  </si>
  <si>
    <t>TÊN HÀNG</t>
  </si>
  <si>
    <t>Pa</t>
  </si>
  <si>
    <t>Máy lạnh Panasonic</t>
  </si>
  <si>
    <t>To</t>
  </si>
  <si>
    <t>Máy lạnhTosiba</t>
  </si>
  <si>
    <t>Sa</t>
  </si>
  <si>
    <t>Máy lạnh Sanyo</t>
  </si>
  <si>
    <t>Hi</t>
  </si>
  <si>
    <t>Máy lạnh Hitachi</t>
  </si>
  <si>
    <t>DANH SÁCH CÁC MẶT HÀNG CÓ TIỀN XUẤT &gt;= 20000</t>
  </si>
  <si>
    <t>Bán được</t>
  </si>
  <si>
    <t>DANH SÁCH THƯỞNG THÁNG 03</t>
  </si>
  <si>
    <t>HỌ</t>
  </si>
  <si>
    <t>TÊN</t>
  </si>
  <si>
    <t>NGÀY CÔNG</t>
  </si>
  <si>
    <t>THƯỞNG 8-3</t>
  </si>
  <si>
    <t>THƯỞNG A</t>
  </si>
  <si>
    <t>THƯỞNG B</t>
  </si>
  <si>
    <t>Trần Thanh</t>
  </si>
  <si>
    <t>Tuân</t>
  </si>
  <si>
    <t>Phạm Hùng</t>
  </si>
  <si>
    <t>Cường</t>
  </si>
  <si>
    <t>Lê Ngọc</t>
  </si>
  <si>
    <t>Xuân</t>
  </si>
  <si>
    <t>Phạm Thanh</t>
  </si>
  <si>
    <t>Long</t>
  </si>
  <si>
    <t>Phạm Hoài</t>
  </si>
  <si>
    <t xml:space="preserve">Nam </t>
  </si>
  <si>
    <t>Lê Thanh</t>
  </si>
  <si>
    <t>Lan</t>
  </si>
  <si>
    <t>HỌ VÀ TÊN</t>
  </si>
  <si>
    <t>CHỨC VỤ</t>
  </si>
  <si>
    <t>NĂM SINH</t>
  </si>
  <si>
    <t>LCB</t>
  </si>
  <si>
    <t>NGÀY</t>
  </si>
  <si>
    <t>TUỔI</t>
  </si>
  <si>
    <t>LƯƠNG</t>
  </si>
  <si>
    <t>THƯỞNG</t>
  </si>
  <si>
    <t>TẠM ỨNG</t>
  </si>
  <si>
    <t>CÒN LẠI</t>
  </si>
  <si>
    <t xml:space="preserve">Nguyễn Văn Tâm </t>
  </si>
  <si>
    <t>TP</t>
  </si>
  <si>
    <t>Nguyễn Thị Hằng</t>
  </si>
  <si>
    <t>NV</t>
  </si>
  <si>
    <t xml:space="preserve">Ngô Thị Nga </t>
  </si>
  <si>
    <t>PP</t>
  </si>
  <si>
    <t>Trần Thiên Thu</t>
  </si>
  <si>
    <t>Lâm Hoàng Cát</t>
  </si>
  <si>
    <t>KT</t>
  </si>
  <si>
    <t>Lê Hoài Sơn</t>
  </si>
  <si>
    <t>BV</t>
  </si>
  <si>
    <t>Lý Lâm</t>
  </si>
  <si>
    <t>Trần Văn Trung</t>
  </si>
  <si>
    <t>GĐ</t>
  </si>
  <si>
    <t>Nguyễn Văn Trang</t>
  </si>
  <si>
    <t>Lý Thu Nga</t>
  </si>
  <si>
    <t>Nguyễn Văn Hùng</t>
  </si>
  <si>
    <t>Trần Thị Phượng</t>
  </si>
  <si>
    <t>Võ Tấn Thành</t>
  </si>
  <si>
    <t>PGĐ</t>
  </si>
  <si>
    <t>Lê Văn Minh</t>
  </si>
  <si>
    <t>Doãn Hòa</t>
  </si>
  <si>
    <t>TỔNG CỘNG</t>
  </si>
  <si>
    <t>BÌNH QUÂN</t>
  </si>
  <si>
    <t>Bảng tính 2</t>
  </si>
  <si>
    <t>Bảng tính 3</t>
  </si>
  <si>
    <t>Bảng tính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</si>
</sst>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0.0"/>
    <numFmt numFmtId="165" formatCode="#,##0_ ;\-#,##0\ "/>
  </numFmts>
  <fonts count="10" x14ac:knownFonts="1">
    <font>
      <sz val="11"/>
      <color theme="1"/>
      <name val="Calibri"/>
      <family val="2"/>
      <charset val="163"/>
      <scheme val="minor"/>
    </font>
    <font>
      <sz val="11"/>
      <color theme="1"/>
      <name val="Baskerville Old Face"/>
      <family val="1"/>
    </font>
    <font>
      <sz val="22"/>
      <color theme="1"/>
      <name val="Bauhaus 93"/>
      <family val="5"/>
    </font>
    <font>
      <b/>
      <sz val="11"/>
      <color theme="1"/>
      <name val="Bauhaus 93"/>
      <family val="5"/>
    </font>
    <font>
      <b/>
      <sz val="12"/>
      <color theme="1"/>
      <name val="Bauhaus 93"/>
      <family val="5"/>
    </font>
    <font>
      <sz val="11"/>
      <color theme="1"/>
      <name val="Bauhaus 93"/>
      <family val="5"/>
    </font>
    <font>
      <sz val="18"/>
      <color theme="1"/>
      <name val="Bauhaus 93"/>
      <family val="5"/>
    </font>
    <font>
      <sz val="12"/>
      <color theme="1"/>
      <name val="Bauhaus 93"/>
      <family val="5"/>
    </font>
    <font>
      <sz val="14"/>
      <color theme="1"/>
      <name val="Bauhaus 93"/>
      <family val="5"/>
    </font>
    <font>
      <b/>
      <i/>
      <sz val="11"/>
      <color theme="1"/>
      <name val="Bauhaus 93"/>
      <family val="5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5" xfId="0" applyFont="1" applyBorder="1"/>
    <xf numFmtId="0" fontId="0" fillId="0" borderId="6" xfId="0" applyBorder="1"/>
    <xf numFmtId="0" fontId="1" fillId="0" borderId="11" xfId="0" applyFont="1" applyBorder="1"/>
    <xf numFmtId="0" fontId="0" fillId="0" borderId="12" xfId="0" applyBorder="1"/>
    <xf numFmtId="0" fontId="1" fillId="0" borderId="14" xfId="0" applyFont="1" applyBorder="1"/>
    <xf numFmtId="0" fontId="0" fillId="0" borderId="15" xfId="0" applyBorder="1"/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164" fontId="5" fillId="0" borderId="5" xfId="0" applyNumberFormat="1" applyFont="1" applyBorder="1" applyAlignment="1">
      <alignment horizontal="right"/>
    </xf>
    <xf numFmtId="2" fontId="5" fillId="0" borderId="5" xfId="0" applyNumberFormat="1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164" fontId="5" fillId="0" borderId="8" xfId="0" applyNumberFormat="1" applyFont="1" applyBorder="1" applyAlignment="1">
      <alignment horizontal="right"/>
    </xf>
    <xf numFmtId="0" fontId="5" fillId="0" borderId="8" xfId="0" applyFont="1" applyBorder="1" applyAlignment="1">
      <alignment horizontal="center"/>
    </xf>
    <xf numFmtId="0" fontId="5" fillId="0" borderId="9" xfId="0" applyFont="1" applyBorder="1"/>
    <xf numFmtId="2" fontId="5" fillId="0" borderId="11" xfId="0" applyNumberFormat="1" applyFont="1" applyBorder="1"/>
    <xf numFmtId="2" fontId="5" fillId="0" borderId="14" xfId="0" applyNumberFormat="1" applyFont="1" applyBorder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5" xfId="0" applyFont="1" applyFill="1" applyBorder="1"/>
    <xf numFmtId="0" fontId="7" fillId="3" borderId="6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0" fontId="8" fillId="0" borderId="6" xfId="0" applyFont="1" applyBorder="1"/>
    <xf numFmtId="0" fontId="8" fillId="0" borderId="13" xfId="0" applyFont="1" applyBorder="1" applyAlignment="1">
      <alignment horizontal="center"/>
    </xf>
    <xf numFmtId="0" fontId="8" fillId="0" borderId="14" xfId="0" applyFont="1" applyBorder="1"/>
    <xf numFmtId="0" fontId="8" fillId="0" borderId="14" xfId="0" applyFont="1" applyBorder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14" fontId="7" fillId="0" borderId="5" xfId="0" applyNumberFormat="1" applyFont="1" applyBorder="1"/>
    <xf numFmtId="0" fontId="5" fillId="0" borderId="5" xfId="0" applyNumberFormat="1" applyFont="1" applyBorder="1"/>
    <xf numFmtId="0" fontId="9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0" fontId="5" fillId="3" borderId="10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5" fillId="0" borderId="13" xfId="0" applyFont="1" applyBorder="1"/>
    <xf numFmtId="0" fontId="5" fillId="0" borderId="16" xfId="0" applyFont="1" applyBorder="1" applyAlignment="1">
      <alignment horizontal="left"/>
    </xf>
    <xf numFmtId="0" fontId="5" fillId="0" borderId="16" xfId="0" applyFont="1" applyBorder="1"/>
    <xf numFmtId="0" fontId="5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41" fontId="5" fillId="0" borderId="16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41" fontId="5" fillId="0" borderId="17" xfId="0" applyNumberFormat="1" applyFont="1" applyBorder="1" applyAlignment="1">
      <alignment horizontal="center" vertical="center"/>
    </xf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B14" sqref="B14"/>
    </sheetView>
  </sheetViews>
  <sheetFormatPr defaultRowHeight="14.4" x14ac:dyDescent="0.3"/>
  <cols>
    <col min="3" max="3" width="9" bestFit="1" customWidth="1"/>
    <col min="8" max="8" width="15.33203125" customWidth="1"/>
    <col min="11" max="11" width="12.109375" customWidth="1"/>
    <col min="12" max="12" width="20.44140625" customWidth="1"/>
  </cols>
  <sheetData>
    <row r="1" spans="1:12" ht="16.2" x14ac:dyDescent="0.35">
      <c r="A1" s="24" t="s">
        <v>0</v>
      </c>
    </row>
    <row r="2" spans="1:12" ht="16.8" thickBot="1" x14ac:dyDescent="0.4">
      <c r="A2" s="24" t="s">
        <v>1</v>
      </c>
    </row>
    <row r="3" spans="1:12" ht="34.200000000000003" x14ac:dyDescent="0.75">
      <c r="B3" s="25" t="s">
        <v>2</v>
      </c>
      <c r="C3" s="26"/>
      <c r="D3" s="26"/>
      <c r="E3" s="26"/>
      <c r="F3" s="26"/>
      <c r="G3" s="26"/>
      <c r="H3" s="26"/>
      <c r="I3" s="26"/>
      <c r="J3" s="26"/>
      <c r="K3" s="26"/>
      <c r="L3" s="27"/>
    </row>
    <row r="4" spans="1:12" ht="19.2" x14ac:dyDescent="0.3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16</v>
      </c>
    </row>
    <row r="5" spans="1:12" ht="16.2" x14ac:dyDescent="0.35">
      <c r="B5" s="11">
        <v>1</v>
      </c>
      <c r="C5" s="12" t="s">
        <v>17</v>
      </c>
      <c r="D5" s="12" t="s">
        <v>13</v>
      </c>
      <c r="E5" s="12">
        <v>1988</v>
      </c>
      <c r="F5" s="13">
        <v>10</v>
      </c>
      <c r="G5" s="13">
        <v>8</v>
      </c>
      <c r="H5" s="13">
        <v>9</v>
      </c>
      <c r="I5" s="14">
        <f>AVERAGE(F5,G5,H5)</f>
        <v>9</v>
      </c>
      <c r="J5" s="15" t="str">
        <f>IF(I5&gt;=5,"Đạt","Rớt")</f>
        <v>Đạt</v>
      </c>
      <c r="K5" s="12">
        <f>RANK(I5,$I$5:$I$16)</f>
        <v>1</v>
      </c>
      <c r="L5" s="16">
        <f>IF(K5=1,200000,IF(K5=2,100000,0))</f>
        <v>200000</v>
      </c>
    </row>
    <row r="6" spans="1:12" ht="16.2" x14ac:dyDescent="0.35">
      <c r="B6" s="11">
        <v>2</v>
      </c>
      <c r="C6" s="12" t="s">
        <v>14</v>
      </c>
      <c r="D6" s="12" t="s">
        <v>13</v>
      </c>
      <c r="E6" s="12">
        <v>1987</v>
      </c>
      <c r="F6" s="13">
        <v>8</v>
      </c>
      <c r="G6" s="13">
        <v>8.5</v>
      </c>
      <c r="H6" s="13">
        <v>9</v>
      </c>
      <c r="I6" s="14">
        <f t="shared" ref="I6:I16" si="0">AVERAGE(F6,G6,H6)</f>
        <v>8.5</v>
      </c>
      <c r="J6" s="15" t="str">
        <f t="shared" ref="J6:J15" si="1">IF(I6&gt;=5,"Đạt","Rớt")</f>
        <v>Đạt</v>
      </c>
      <c r="K6" s="12">
        <f t="shared" ref="K6:K16" si="2">RANK(I6,$I$5:$I$16)</f>
        <v>2</v>
      </c>
      <c r="L6" s="16">
        <f t="shared" ref="L6:L16" si="3">IF(K6=1,200000,IF(K6=2,100000,0))</f>
        <v>100000</v>
      </c>
    </row>
    <row r="7" spans="1:12" ht="16.2" x14ac:dyDescent="0.35">
      <c r="B7" s="11">
        <v>3</v>
      </c>
      <c r="C7" s="12" t="s">
        <v>15</v>
      </c>
      <c r="D7" s="12" t="s">
        <v>13</v>
      </c>
      <c r="E7" s="12">
        <v>1986</v>
      </c>
      <c r="F7" s="13">
        <v>9</v>
      </c>
      <c r="G7" s="13">
        <v>8</v>
      </c>
      <c r="H7" s="13">
        <v>7</v>
      </c>
      <c r="I7" s="14">
        <f t="shared" si="0"/>
        <v>8</v>
      </c>
      <c r="J7" s="15" t="str">
        <f t="shared" si="1"/>
        <v>Đạt</v>
      </c>
      <c r="K7" s="12">
        <f t="shared" si="2"/>
        <v>3</v>
      </c>
      <c r="L7" s="16">
        <f t="shared" si="3"/>
        <v>0</v>
      </c>
    </row>
    <row r="8" spans="1:12" ht="16.2" x14ac:dyDescent="0.35">
      <c r="B8" s="11">
        <v>4</v>
      </c>
      <c r="C8" s="12" t="s">
        <v>18</v>
      </c>
      <c r="D8" s="12" t="s">
        <v>19</v>
      </c>
      <c r="E8" s="12">
        <v>1988</v>
      </c>
      <c r="F8" s="13">
        <v>10</v>
      </c>
      <c r="G8" s="13">
        <v>4</v>
      </c>
      <c r="H8" s="13">
        <v>7</v>
      </c>
      <c r="I8" s="14">
        <f t="shared" si="0"/>
        <v>7</v>
      </c>
      <c r="J8" s="15" t="str">
        <f t="shared" si="1"/>
        <v>Đạt</v>
      </c>
      <c r="K8" s="12">
        <f t="shared" si="2"/>
        <v>4</v>
      </c>
      <c r="L8" s="16">
        <f t="shared" si="3"/>
        <v>0</v>
      </c>
    </row>
    <row r="9" spans="1:12" ht="16.2" x14ac:dyDescent="0.35">
      <c r="B9" s="11">
        <v>5</v>
      </c>
      <c r="C9" s="12" t="s">
        <v>20</v>
      </c>
      <c r="D9" s="12" t="s">
        <v>13</v>
      </c>
      <c r="E9" s="12">
        <v>1988</v>
      </c>
      <c r="F9" s="13">
        <v>9</v>
      </c>
      <c r="G9" s="13">
        <v>5</v>
      </c>
      <c r="H9" s="13">
        <v>6</v>
      </c>
      <c r="I9" s="14">
        <f t="shared" si="0"/>
        <v>6.666666666666667</v>
      </c>
      <c r="J9" s="15" t="str">
        <f t="shared" si="1"/>
        <v>Đạt</v>
      </c>
      <c r="K9" s="12">
        <f t="shared" si="2"/>
        <v>5</v>
      </c>
      <c r="L9" s="16">
        <f t="shared" si="3"/>
        <v>0</v>
      </c>
    </row>
    <row r="10" spans="1:12" ht="16.2" x14ac:dyDescent="0.35">
      <c r="B10" s="11">
        <v>6</v>
      </c>
      <c r="C10" s="12" t="s">
        <v>21</v>
      </c>
      <c r="D10" s="12" t="s">
        <v>19</v>
      </c>
      <c r="E10" s="12">
        <v>1987</v>
      </c>
      <c r="F10" s="13">
        <v>6</v>
      </c>
      <c r="G10" s="13">
        <v>6</v>
      </c>
      <c r="H10" s="13">
        <v>8</v>
      </c>
      <c r="I10" s="14">
        <f t="shared" si="0"/>
        <v>6.666666666666667</v>
      </c>
      <c r="J10" s="15" t="str">
        <f t="shared" si="1"/>
        <v>Đạt</v>
      </c>
      <c r="K10" s="12">
        <f t="shared" si="2"/>
        <v>5</v>
      </c>
      <c r="L10" s="16">
        <f t="shared" si="3"/>
        <v>0</v>
      </c>
    </row>
    <row r="11" spans="1:12" ht="16.2" x14ac:dyDescent="0.35">
      <c r="B11" s="11">
        <v>7</v>
      </c>
      <c r="C11" s="12" t="s">
        <v>22</v>
      </c>
      <c r="D11" s="12" t="s">
        <v>13</v>
      </c>
      <c r="E11" s="12">
        <v>1986</v>
      </c>
      <c r="F11" s="13">
        <v>7.5</v>
      </c>
      <c r="G11" s="13">
        <v>5</v>
      </c>
      <c r="H11" s="13">
        <v>6</v>
      </c>
      <c r="I11" s="14">
        <f t="shared" si="0"/>
        <v>6.166666666666667</v>
      </c>
      <c r="J11" s="15" t="str">
        <f t="shared" si="1"/>
        <v>Đạt</v>
      </c>
      <c r="K11" s="12">
        <f t="shared" si="2"/>
        <v>8</v>
      </c>
      <c r="L11" s="16">
        <f t="shared" si="3"/>
        <v>0</v>
      </c>
    </row>
    <row r="12" spans="1:12" ht="16.2" x14ac:dyDescent="0.35">
      <c r="B12" s="11">
        <v>8</v>
      </c>
      <c r="C12" s="12" t="s">
        <v>13</v>
      </c>
      <c r="D12" s="12" t="s">
        <v>13</v>
      </c>
      <c r="E12" s="12">
        <v>1988</v>
      </c>
      <c r="F12" s="13">
        <v>3</v>
      </c>
      <c r="G12" s="13">
        <v>9</v>
      </c>
      <c r="H12" s="13">
        <v>7</v>
      </c>
      <c r="I12" s="14">
        <f t="shared" si="0"/>
        <v>6.333333333333333</v>
      </c>
      <c r="J12" s="15" t="str">
        <f t="shared" si="1"/>
        <v>Đạt</v>
      </c>
      <c r="K12" s="12">
        <f t="shared" si="2"/>
        <v>7</v>
      </c>
      <c r="L12" s="16">
        <f t="shared" si="3"/>
        <v>0</v>
      </c>
    </row>
    <row r="13" spans="1:12" ht="16.2" x14ac:dyDescent="0.35">
      <c r="B13" s="11">
        <v>9</v>
      </c>
      <c r="C13" s="12" t="s">
        <v>23</v>
      </c>
      <c r="D13" s="12" t="s">
        <v>19</v>
      </c>
      <c r="E13" s="12">
        <v>1988</v>
      </c>
      <c r="F13" s="13">
        <v>4</v>
      </c>
      <c r="G13" s="13">
        <v>5</v>
      </c>
      <c r="H13" s="13">
        <v>5.5</v>
      </c>
      <c r="I13" s="14">
        <f t="shared" si="0"/>
        <v>4.833333333333333</v>
      </c>
      <c r="J13" s="15" t="str">
        <f t="shared" si="1"/>
        <v>Rớt</v>
      </c>
      <c r="K13" s="12">
        <f t="shared" si="2"/>
        <v>9</v>
      </c>
      <c r="L13" s="16">
        <f t="shared" si="3"/>
        <v>0</v>
      </c>
    </row>
    <row r="14" spans="1:12" ht="16.2" x14ac:dyDescent="0.35">
      <c r="B14" s="11">
        <v>10</v>
      </c>
      <c r="C14" s="12" t="s">
        <v>24</v>
      </c>
      <c r="D14" s="12" t="s">
        <v>19</v>
      </c>
      <c r="E14" s="12">
        <v>1988</v>
      </c>
      <c r="F14" s="13">
        <v>4.5</v>
      </c>
      <c r="G14" s="13">
        <v>6</v>
      </c>
      <c r="H14" s="13">
        <v>4</v>
      </c>
      <c r="I14" s="14">
        <f t="shared" si="0"/>
        <v>4.833333333333333</v>
      </c>
      <c r="J14" s="15" t="str">
        <f t="shared" si="1"/>
        <v>Rớt</v>
      </c>
      <c r="K14" s="12">
        <f t="shared" si="2"/>
        <v>9</v>
      </c>
      <c r="L14" s="16">
        <f t="shared" si="3"/>
        <v>0</v>
      </c>
    </row>
    <row r="15" spans="1:12" ht="16.2" x14ac:dyDescent="0.35">
      <c r="B15" s="11">
        <v>11</v>
      </c>
      <c r="C15" s="12" t="s">
        <v>25</v>
      </c>
      <c r="D15" s="12" t="s">
        <v>13</v>
      </c>
      <c r="E15" s="12">
        <v>1987</v>
      </c>
      <c r="F15" s="13">
        <v>3</v>
      </c>
      <c r="G15" s="13">
        <v>5</v>
      </c>
      <c r="H15" s="13">
        <v>5</v>
      </c>
      <c r="I15" s="14">
        <f t="shared" si="0"/>
        <v>4.333333333333333</v>
      </c>
      <c r="J15" s="15" t="str">
        <f t="shared" si="1"/>
        <v>Rớt</v>
      </c>
      <c r="K15" s="12">
        <f t="shared" si="2"/>
        <v>11</v>
      </c>
      <c r="L15" s="16">
        <f t="shared" si="3"/>
        <v>0</v>
      </c>
    </row>
    <row r="16" spans="1:12" ht="16.8" thickBot="1" x14ac:dyDescent="0.4">
      <c r="B16" s="17">
        <v>12</v>
      </c>
      <c r="C16" s="18" t="s">
        <v>26</v>
      </c>
      <c r="D16" s="18" t="s">
        <v>13</v>
      </c>
      <c r="E16" s="18">
        <v>1986</v>
      </c>
      <c r="F16" s="19">
        <v>4</v>
      </c>
      <c r="G16" s="19">
        <v>3</v>
      </c>
      <c r="H16" s="19">
        <v>5</v>
      </c>
      <c r="I16" s="14">
        <f t="shared" si="0"/>
        <v>4</v>
      </c>
      <c r="J16" s="20" t="str">
        <f>IF(I16&gt;=5,"Đạt","Rớt")</f>
        <v>Rớt</v>
      </c>
      <c r="K16" s="12">
        <f t="shared" si="2"/>
        <v>12</v>
      </c>
      <c r="L16" s="21">
        <f t="shared" si="3"/>
        <v>0</v>
      </c>
    </row>
    <row r="17" spans="2:12" ht="16.2" x14ac:dyDescent="0.35">
      <c r="B17" s="28" t="s">
        <v>27</v>
      </c>
      <c r="C17" s="29"/>
      <c r="D17" s="29"/>
      <c r="E17" s="29"/>
      <c r="F17" s="3"/>
      <c r="G17" s="3"/>
      <c r="H17" s="3"/>
      <c r="I17" s="22">
        <f>AVERAGE(I5:I16)</f>
        <v>6.3611111111111107</v>
      </c>
      <c r="J17" s="3"/>
      <c r="K17" s="3"/>
      <c r="L17" s="4"/>
    </row>
    <row r="18" spans="2:12" ht="16.2" x14ac:dyDescent="0.35">
      <c r="B18" s="30" t="s">
        <v>28</v>
      </c>
      <c r="C18" s="31"/>
      <c r="D18" s="31"/>
      <c r="E18" s="31"/>
      <c r="F18" s="1"/>
      <c r="G18" s="1"/>
      <c r="H18" s="1"/>
      <c r="I18" s="14">
        <f>MAX(I5:I16)</f>
        <v>9</v>
      </c>
      <c r="J18" s="1"/>
      <c r="K18" s="1"/>
      <c r="L18" s="2"/>
    </row>
    <row r="19" spans="2:12" ht="16.8" thickBot="1" x14ac:dyDescent="0.4">
      <c r="B19" s="32" t="s">
        <v>29</v>
      </c>
      <c r="C19" s="33"/>
      <c r="D19" s="33"/>
      <c r="E19" s="33"/>
      <c r="F19" s="5"/>
      <c r="G19" s="5"/>
      <c r="H19" s="5"/>
      <c r="I19" s="23">
        <f>MIN(5,I16)</f>
        <v>4</v>
      </c>
      <c r="J19" s="5"/>
      <c r="K19" s="5"/>
      <c r="L19" s="6"/>
    </row>
  </sheetData>
  <mergeCells count="4">
    <mergeCell ref="B3:L3"/>
    <mergeCell ref="B17:E17"/>
    <mergeCell ref="B18:E18"/>
    <mergeCell ref="B19:E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I10"/>
    </sheetView>
  </sheetViews>
  <sheetFormatPr defaultRowHeight="14.4" x14ac:dyDescent="0.3"/>
  <cols>
    <col min="1" max="1" width="10.44140625" customWidth="1"/>
    <col min="6" max="6" width="17" customWidth="1"/>
    <col min="7" max="7" width="14.33203125" customWidth="1"/>
    <col min="8" max="8" width="14.5546875" customWidth="1"/>
    <col min="9" max="9" width="15.5546875" customWidth="1"/>
  </cols>
  <sheetData>
    <row r="1" spans="1:10" ht="16.2" x14ac:dyDescent="0.35">
      <c r="A1" s="24" t="s">
        <v>112</v>
      </c>
      <c r="B1" s="24"/>
      <c r="C1" s="24"/>
      <c r="D1" s="24"/>
      <c r="E1" s="24"/>
      <c r="F1" s="24"/>
      <c r="G1" s="24"/>
      <c r="H1" s="24"/>
      <c r="I1" s="24"/>
    </row>
    <row r="2" spans="1:10" ht="16.8" thickBot="1" x14ac:dyDescent="0.4">
      <c r="A2" s="24"/>
      <c r="B2" s="24"/>
      <c r="C2" s="24"/>
      <c r="D2" s="24"/>
      <c r="E2" s="24"/>
      <c r="F2" s="24"/>
      <c r="G2" s="24"/>
      <c r="H2" s="24"/>
      <c r="I2" s="24"/>
    </row>
    <row r="3" spans="1:10" ht="27.6" x14ac:dyDescent="0.6">
      <c r="A3" s="24"/>
      <c r="B3" s="36" t="s">
        <v>59</v>
      </c>
      <c r="C3" s="37"/>
      <c r="D3" s="37"/>
      <c r="E3" s="37"/>
      <c r="F3" s="37"/>
      <c r="G3" s="37"/>
      <c r="H3" s="37"/>
      <c r="I3" s="38"/>
      <c r="J3" s="35"/>
    </row>
    <row r="4" spans="1:10" ht="19.2" x14ac:dyDescent="0.45">
      <c r="A4" s="24"/>
      <c r="B4" s="39" t="s">
        <v>3</v>
      </c>
      <c r="C4" s="40" t="s">
        <v>60</v>
      </c>
      <c r="D4" s="40" t="s">
        <v>61</v>
      </c>
      <c r="E4" s="40" t="s">
        <v>5</v>
      </c>
      <c r="F4" s="41" t="s">
        <v>62</v>
      </c>
      <c r="G4" s="40" t="s">
        <v>63</v>
      </c>
      <c r="H4" s="40" t="s">
        <v>64</v>
      </c>
      <c r="I4" s="42" t="s">
        <v>65</v>
      </c>
      <c r="J4" s="35"/>
    </row>
    <row r="5" spans="1:10" ht="21" x14ac:dyDescent="0.45">
      <c r="A5" s="24"/>
      <c r="B5" s="43">
        <v>1</v>
      </c>
      <c r="C5" s="44" t="s">
        <v>66</v>
      </c>
      <c r="D5" s="44" t="s">
        <v>67</v>
      </c>
      <c r="E5" s="45" t="s">
        <v>13</v>
      </c>
      <c r="F5" s="44">
        <v>24</v>
      </c>
      <c r="G5" s="44">
        <v>0</v>
      </c>
      <c r="H5" s="44">
        <v>300000</v>
      </c>
      <c r="I5" s="46">
        <v>0</v>
      </c>
      <c r="J5" s="35"/>
    </row>
    <row r="6" spans="1:10" ht="21" x14ac:dyDescent="0.45">
      <c r="A6" s="24"/>
      <c r="B6" s="43">
        <v>2</v>
      </c>
      <c r="C6" s="44" t="s">
        <v>68</v>
      </c>
      <c r="D6" s="44" t="s">
        <v>69</v>
      </c>
      <c r="E6" s="45" t="s">
        <v>13</v>
      </c>
      <c r="F6" s="44">
        <v>25</v>
      </c>
      <c r="G6" s="44">
        <v>0</v>
      </c>
      <c r="H6" s="44">
        <v>300000</v>
      </c>
      <c r="I6" s="46">
        <v>0</v>
      </c>
      <c r="J6" s="35"/>
    </row>
    <row r="7" spans="1:10" ht="21" x14ac:dyDescent="0.45">
      <c r="A7" s="24"/>
      <c r="B7" s="43">
        <v>3</v>
      </c>
      <c r="C7" s="44" t="s">
        <v>70</v>
      </c>
      <c r="D7" s="44" t="s">
        <v>71</v>
      </c>
      <c r="E7" s="45" t="s">
        <v>19</v>
      </c>
      <c r="F7" s="44">
        <v>26</v>
      </c>
      <c r="G7" s="44">
        <v>200000</v>
      </c>
      <c r="H7" s="44">
        <v>300000</v>
      </c>
      <c r="I7" s="46">
        <v>100000</v>
      </c>
      <c r="J7" s="35"/>
    </row>
    <row r="8" spans="1:10" ht="21" x14ac:dyDescent="0.45">
      <c r="A8" s="24"/>
      <c r="B8" s="43">
        <v>4</v>
      </c>
      <c r="C8" s="44" t="s">
        <v>72</v>
      </c>
      <c r="D8" s="44" t="s">
        <v>73</v>
      </c>
      <c r="E8" s="45" t="s">
        <v>19</v>
      </c>
      <c r="F8" s="44">
        <v>22</v>
      </c>
      <c r="G8" s="44">
        <v>200000</v>
      </c>
      <c r="H8" s="44">
        <v>0</v>
      </c>
      <c r="I8" s="46">
        <v>0</v>
      </c>
      <c r="J8" s="35"/>
    </row>
    <row r="9" spans="1:10" ht="21" x14ac:dyDescent="0.45">
      <c r="A9" s="24"/>
      <c r="B9" s="43">
        <v>5</v>
      </c>
      <c r="C9" s="44" t="s">
        <v>74</v>
      </c>
      <c r="D9" s="44" t="s">
        <v>75</v>
      </c>
      <c r="E9" s="45" t="s">
        <v>13</v>
      </c>
      <c r="F9" s="44">
        <v>27</v>
      </c>
      <c r="G9" s="44">
        <v>0</v>
      </c>
      <c r="H9" s="44">
        <v>300000</v>
      </c>
      <c r="I9" s="46">
        <v>100000</v>
      </c>
      <c r="J9" s="35"/>
    </row>
    <row r="10" spans="1:10" ht="21.6" thickBot="1" x14ac:dyDescent="0.5">
      <c r="A10" s="24"/>
      <c r="B10" s="47">
        <v>6</v>
      </c>
      <c r="C10" s="48" t="s">
        <v>76</v>
      </c>
      <c r="D10" s="48" t="s">
        <v>77</v>
      </c>
      <c r="E10" s="49" t="s">
        <v>19</v>
      </c>
      <c r="F10" s="48">
        <v>25</v>
      </c>
      <c r="G10" s="44">
        <v>200000</v>
      </c>
      <c r="H10" s="44">
        <v>300000</v>
      </c>
      <c r="I10" s="46">
        <v>0</v>
      </c>
      <c r="J10" s="35"/>
    </row>
    <row r="11" spans="1:10" x14ac:dyDescent="0.3">
      <c r="B11" s="34"/>
      <c r="C11" s="34"/>
      <c r="D11" s="34"/>
      <c r="E11" s="34"/>
      <c r="F11" s="34"/>
      <c r="G11" s="34"/>
      <c r="H11" s="34"/>
      <c r="I11" s="34"/>
    </row>
  </sheetData>
  <mergeCells count="1">
    <mergeCell ref="B3:I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sqref="A1:L22"/>
    </sheetView>
  </sheetViews>
  <sheetFormatPr defaultRowHeight="14.4" x14ac:dyDescent="0.3"/>
  <cols>
    <col min="1" max="1" width="10.21875" customWidth="1"/>
    <col min="2" max="2" width="9" bestFit="1" customWidth="1"/>
    <col min="3" max="3" width="19.44140625" customWidth="1"/>
    <col min="4" max="4" width="13.88671875" customWidth="1"/>
    <col min="5" max="5" width="12.6640625" customWidth="1"/>
    <col min="6" max="8" width="9" bestFit="1" customWidth="1"/>
    <col min="9" max="9" width="10.21875" customWidth="1"/>
    <col min="10" max="10" width="13.44140625" customWidth="1"/>
    <col min="11" max="11" width="12" customWidth="1"/>
    <col min="12" max="12" width="12.109375" bestFit="1" customWidth="1"/>
  </cols>
  <sheetData>
    <row r="1" spans="1:12" ht="16.2" x14ac:dyDescent="0.35">
      <c r="A1" s="24" t="s">
        <v>113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6.8" thickBot="1" x14ac:dyDescent="0.4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19.2" x14ac:dyDescent="0.35">
      <c r="A3" s="24"/>
      <c r="B3" s="50" t="s">
        <v>3</v>
      </c>
      <c r="C3" s="51" t="s">
        <v>78</v>
      </c>
      <c r="D3" s="51" t="s">
        <v>79</v>
      </c>
      <c r="E3" s="51" t="s">
        <v>80</v>
      </c>
      <c r="F3" s="51" t="s">
        <v>81</v>
      </c>
      <c r="G3" s="51" t="s">
        <v>82</v>
      </c>
      <c r="H3" s="51" t="s">
        <v>83</v>
      </c>
      <c r="I3" s="51" t="s">
        <v>84</v>
      </c>
      <c r="J3" s="51" t="s">
        <v>85</v>
      </c>
      <c r="K3" s="51" t="s">
        <v>86</v>
      </c>
      <c r="L3" s="52" t="s">
        <v>87</v>
      </c>
    </row>
    <row r="4" spans="1:12" ht="19.2" x14ac:dyDescent="0.45">
      <c r="A4" s="24"/>
      <c r="B4" s="53">
        <v>1</v>
      </c>
      <c r="C4" s="54" t="s">
        <v>88</v>
      </c>
      <c r="D4" s="55" t="s">
        <v>89</v>
      </c>
      <c r="E4" s="56">
        <v>24524</v>
      </c>
      <c r="F4" s="54">
        <v>120000</v>
      </c>
      <c r="G4" s="54">
        <v>25</v>
      </c>
      <c r="H4" s="57">
        <v>58</v>
      </c>
      <c r="I4" s="12">
        <v>3000000</v>
      </c>
      <c r="J4" s="12">
        <v>300000</v>
      </c>
      <c r="K4" s="12">
        <v>2000000</v>
      </c>
      <c r="L4" s="16">
        <v>1300000</v>
      </c>
    </row>
    <row r="5" spans="1:12" ht="19.2" x14ac:dyDescent="0.45">
      <c r="A5" s="24"/>
      <c r="B5" s="53">
        <v>2</v>
      </c>
      <c r="C5" s="54" t="s">
        <v>90</v>
      </c>
      <c r="D5" s="55" t="s">
        <v>91</v>
      </c>
      <c r="E5" s="56">
        <v>27659</v>
      </c>
      <c r="F5" s="54">
        <v>160000</v>
      </c>
      <c r="G5" s="54">
        <v>24</v>
      </c>
      <c r="H5" s="57">
        <v>50</v>
      </c>
      <c r="I5" s="12">
        <v>3840000</v>
      </c>
      <c r="J5" s="12">
        <v>100000</v>
      </c>
      <c r="K5" s="12">
        <v>2560000</v>
      </c>
      <c r="L5" s="16">
        <v>1380000</v>
      </c>
    </row>
    <row r="6" spans="1:12" ht="19.2" x14ac:dyDescent="0.45">
      <c r="A6" s="24"/>
      <c r="B6" s="53">
        <v>3</v>
      </c>
      <c r="C6" s="54" t="s">
        <v>92</v>
      </c>
      <c r="D6" s="55" t="s">
        <v>93</v>
      </c>
      <c r="E6" s="56">
        <v>24972</v>
      </c>
      <c r="F6" s="54">
        <v>150000</v>
      </c>
      <c r="G6" s="54">
        <v>26</v>
      </c>
      <c r="H6" s="57">
        <v>57</v>
      </c>
      <c r="I6" s="12">
        <v>3900000</v>
      </c>
      <c r="J6" s="12">
        <v>200000</v>
      </c>
      <c r="K6" s="12">
        <v>2600000</v>
      </c>
      <c r="L6" s="16">
        <v>1500000</v>
      </c>
    </row>
    <row r="7" spans="1:12" ht="19.2" x14ac:dyDescent="0.45">
      <c r="A7" s="24"/>
      <c r="B7" s="53">
        <v>4</v>
      </c>
      <c r="C7" s="54" t="s">
        <v>94</v>
      </c>
      <c r="D7" s="55" t="s">
        <v>91</v>
      </c>
      <c r="E7" s="56">
        <v>21231</v>
      </c>
      <c r="F7" s="54">
        <v>130000</v>
      </c>
      <c r="G7" s="54">
        <v>20</v>
      </c>
      <c r="H7" s="57">
        <v>67</v>
      </c>
      <c r="I7" s="12">
        <v>2600000</v>
      </c>
      <c r="J7" s="12">
        <v>100000</v>
      </c>
      <c r="K7" s="12">
        <v>1733333.3333333333</v>
      </c>
      <c r="L7" s="16">
        <v>966666.66666666674</v>
      </c>
    </row>
    <row r="8" spans="1:12" ht="19.2" x14ac:dyDescent="0.45">
      <c r="A8" s="24"/>
      <c r="B8" s="53">
        <v>5</v>
      </c>
      <c r="C8" s="54" t="s">
        <v>95</v>
      </c>
      <c r="D8" s="55" t="s">
        <v>96</v>
      </c>
      <c r="E8" s="56">
        <v>28728</v>
      </c>
      <c r="F8" s="54">
        <v>180000</v>
      </c>
      <c r="G8" s="54">
        <v>23</v>
      </c>
      <c r="H8" s="57">
        <v>47</v>
      </c>
      <c r="I8" s="12">
        <v>4140000</v>
      </c>
      <c r="J8" s="12">
        <v>100000</v>
      </c>
      <c r="K8" s="12">
        <v>2760000</v>
      </c>
      <c r="L8" s="16">
        <v>1480000</v>
      </c>
    </row>
    <row r="9" spans="1:12" ht="19.2" x14ac:dyDescent="0.45">
      <c r="A9" s="24"/>
      <c r="B9" s="53">
        <v>6</v>
      </c>
      <c r="C9" s="54" t="s">
        <v>97</v>
      </c>
      <c r="D9" s="55" t="s">
        <v>98</v>
      </c>
      <c r="E9" s="56">
        <v>25432</v>
      </c>
      <c r="F9" s="54">
        <v>150000</v>
      </c>
      <c r="G9" s="54">
        <v>24</v>
      </c>
      <c r="H9" s="57">
        <v>56</v>
      </c>
      <c r="I9" s="12">
        <v>3600000</v>
      </c>
      <c r="J9" s="12">
        <v>100000</v>
      </c>
      <c r="K9" s="12">
        <v>2400000</v>
      </c>
      <c r="L9" s="16">
        <v>1300000</v>
      </c>
    </row>
    <row r="10" spans="1:12" ht="19.2" x14ac:dyDescent="0.45">
      <c r="A10" s="24"/>
      <c r="B10" s="53">
        <v>7</v>
      </c>
      <c r="C10" s="54" t="s">
        <v>99</v>
      </c>
      <c r="D10" s="55" t="s">
        <v>93</v>
      </c>
      <c r="E10" s="56">
        <v>25430</v>
      </c>
      <c r="F10" s="54">
        <v>140000</v>
      </c>
      <c r="G10" s="54">
        <v>27</v>
      </c>
      <c r="H10" s="57">
        <v>56</v>
      </c>
      <c r="I10" s="12">
        <v>3780000</v>
      </c>
      <c r="J10" s="12">
        <v>200000</v>
      </c>
      <c r="K10" s="12">
        <v>2520000</v>
      </c>
      <c r="L10" s="16">
        <v>1460000</v>
      </c>
    </row>
    <row r="11" spans="1:12" ht="19.2" x14ac:dyDescent="0.45">
      <c r="A11" s="24"/>
      <c r="B11" s="53">
        <v>8</v>
      </c>
      <c r="C11" s="54" t="s">
        <v>100</v>
      </c>
      <c r="D11" s="55" t="s">
        <v>101</v>
      </c>
      <c r="E11" s="56">
        <v>20796</v>
      </c>
      <c r="F11" s="54">
        <v>160000</v>
      </c>
      <c r="G11" s="54">
        <v>14</v>
      </c>
      <c r="H11" s="57">
        <v>69</v>
      </c>
      <c r="I11" s="12">
        <v>2240000</v>
      </c>
      <c r="J11" s="12">
        <v>500000</v>
      </c>
      <c r="K11" s="12">
        <v>1493333.3333333333</v>
      </c>
      <c r="L11" s="16">
        <v>1246666.6666666667</v>
      </c>
    </row>
    <row r="12" spans="1:12" ht="19.2" x14ac:dyDescent="0.45">
      <c r="A12" s="24"/>
      <c r="B12" s="53">
        <v>9</v>
      </c>
      <c r="C12" s="54" t="s">
        <v>102</v>
      </c>
      <c r="D12" s="55" t="s">
        <v>98</v>
      </c>
      <c r="E12" s="56">
        <v>22194</v>
      </c>
      <c r="F12" s="54">
        <v>150000</v>
      </c>
      <c r="G12" s="54">
        <v>17</v>
      </c>
      <c r="H12" s="57">
        <v>65</v>
      </c>
      <c r="I12" s="12">
        <v>2550000</v>
      </c>
      <c r="J12" s="12">
        <v>100000</v>
      </c>
      <c r="K12" s="12">
        <v>1700000</v>
      </c>
      <c r="L12" s="16">
        <v>950000</v>
      </c>
    </row>
    <row r="13" spans="1:12" ht="19.2" x14ac:dyDescent="0.45">
      <c r="A13" s="24"/>
      <c r="B13" s="53">
        <v>10</v>
      </c>
      <c r="C13" s="54" t="s">
        <v>103</v>
      </c>
      <c r="D13" s="55" t="s">
        <v>91</v>
      </c>
      <c r="E13" s="56">
        <v>19859</v>
      </c>
      <c r="F13" s="54">
        <v>130000</v>
      </c>
      <c r="G13" s="54">
        <v>23</v>
      </c>
      <c r="H13" s="57">
        <v>71</v>
      </c>
      <c r="I13" s="12">
        <v>2990000</v>
      </c>
      <c r="J13" s="12">
        <v>100000</v>
      </c>
      <c r="K13" s="12">
        <v>1993333.3333333333</v>
      </c>
      <c r="L13" s="16">
        <v>1096666.6666666667</v>
      </c>
    </row>
    <row r="14" spans="1:12" ht="19.2" x14ac:dyDescent="0.45">
      <c r="A14" s="24"/>
      <c r="B14" s="53">
        <v>11</v>
      </c>
      <c r="C14" s="54" t="s">
        <v>104</v>
      </c>
      <c r="D14" s="55" t="s">
        <v>89</v>
      </c>
      <c r="E14" s="56">
        <v>24731</v>
      </c>
      <c r="F14" s="54">
        <v>180000</v>
      </c>
      <c r="G14" s="54">
        <v>22</v>
      </c>
      <c r="H14" s="57">
        <v>58</v>
      </c>
      <c r="I14" s="12">
        <v>3960000</v>
      </c>
      <c r="J14" s="12">
        <v>300000</v>
      </c>
      <c r="K14" s="12">
        <v>2640000</v>
      </c>
      <c r="L14" s="16">
        <v>1620000</v>
      </c>
    </row>
    <row r="15" spans="1:12" ht="19.2" x14ac:dyDescent="0.45">
      <c r="A15" s="24"/>
      <c r="B15" s="53">
        <v>12</v>
      </c>
      <c r="C15" s="54" t="s">
        <v>105</v>
      </c>
      <c r="D15" s="55" t="s">
        <v>91</v>
      </c>
      <c r="E15" s="56">
        <v>25465</v>
      </c>
      <c r="F15" s="54">
        <v>150000</v>
      </c>
      <c r="G15" s="54">
        <v>14</v>
      </c>
      <c r="H15" s="57">
        <v>56</v>
      </c>
      <c r="I15" s="12">
        <v>2100000</v>
      </c>
      <c r="J15" s="12">
        <v>100000</v>
      </c>
      <c r="K15" s="12">
        <v>1400000</v>
      </c>
      <c r="L15" s="16">
        <v>800000</v>
      </c>
    </row>
    <row r="16" spans="1:12" ht="19.2" x14ac:dyDescent="0.45">
      <c r="A16" s="24"/>
      <c r="B16" s="53">
        <v>13</v>
      </c>
      <c r="C16" s="54" t="s">
        <v>106</v>
      </c>
      <c r="D16" s="55" t="s">
        <v>107</v>
      </c>
      <c r="E16" s="56">
        <v>21438</v>
      </c>
      <c r="F16" s="54">
        <v>180000</v>
      </c>
      <c r="G16" s="54">
        <v>23</v>
      </c>
      <c r="H16" s="57">
        <v>67</v>
      </c>
      <c r="I16" s="12">
        <v>4140000</v>
      </c>
      <c r="J16" s="12">
        <v>400000</v>
      </c>
      <c r="K16" s="12">
        <v>2760000</v>
      </c>
      <c r="L16" s="16">
        <v>1780000</v>
      </c>
    </row>
    <row r="17" spans="1:12" ht="19.2" x14ac:dyDescent="0.45">
      <c r="A17" s="24"/>
      <c r="B17" s="53">
        <v>14</v>
      </c>
      <c r="C17" s="54" t="s">
        <v>108</v>
      </c>
      <c r="D17" s="55" t="s">
        <v>89</v>
      </c>
      <c r="E17" s="56">
        <v>19983</v>
      </c>
      <c r="F17" s="54">
        <v>160000</v>
      </c>
      <c r="G17" s="54">
        <v>27</v>
      </c>
      <c r="H17" s="57">
        <v>71</v>
      </c>
      <c r="I17" s="12">
        <v>4320000</v>
      </c>
      <c r="J17" s="12">
        <v>300000</v>
      </c>
      <c r="K17" s="12">
        <v>2880000</v>
      </c>
      <c r="L17" s="16">
        <v>1740000</v>
      </c>
    </row>
    <row r="18" spans="1:12" ht="19.2" x14ac:dyDescent="0.45">
      <c r="A18" s="24"/>
      <c r="B18" s="53">
        <v>15</v>
      </c>
      <c r="C18" s="54" t="s">
        <v>109</v>
      </c>
      <c r="D18" s="55" t="s">
        <v>98</v>
      </c>
      <c r="E18" s="56">
        <v>25074</v>
      </c>
      <c r="F18" s="54">
        <v>130000</v>
      </c>
      <c r="G18" s="54">
        <v>26</v>
      </c>
      <c r="H18" s="57">
        <v>57</v>
      </c>
      <c r="I18" s="12">
        <v>3380000</v>
      </c>
      <c r="J18" s="12">
        <v>100000</v>
      </c>
      <c r="K18" s="12">
        <v>2253333.3333333335</v>
      </c>
      <c r="L18" s="16">
        <v>1226666.6666666665</v>
      </c>
    </row>
    <row r="19" spans="1:12" ht="16.2" x14ac:dyDescent="0.35">
      <c r="A19" s="24"/>
      <c r="B19" s="58" t="s">
        <v>110</v>
      </c>
      <c r="C19" s="59"/>
      <c r="D19" s="59"/>
      <c r="E19" s="59"/>
      <c r="F19" s="59"/>
      <c r="G19" s="59"/>
      <c r="H19" s="12"/>
      <c r="I19" s="12"/>
      <c r="J19" s="12"/>
      <c r="K19" s="12"/>
      <c r="L19" s="16">
        <v>19846666.666666668</v>
      </c>
    </row>
    <row r="20" spans="1:12" ht="16.2" x14ac:dyDescent="0.35">
      <c r="A20" s="24"/>
      <c r="B20" s="58" t="s">
        <v>111</v>
      </c>
      <c r="C20" s="59"/>
      <c r="D20" s="59"/>
      <c r="E20" s="59"/>
      <c r="F20" s="59"/>
      <c r="G20" s="59"/>
      <c r="H20" s="12"/>
      <c r="I20" s="12"/>
      <c r="J20" s="12"/>
      <c r="K20" s="12"/>
      <c r="L20" s="16">
        <v>1323111.1111111112</v>
      </c>
    </row>
    <row r="21" spans="1:12" ht="16.2" x14ac:dyDescent="0.35">
      <c r="A21" s="24"/>
      <c r="B21" s="58" t="s">
        <v>28</v>
      </c>
      <c r="C21" s="59"/>
      <c r="D21" s="59"/>
      <c r="E21" s="59"/>
      <c r="F21" s="59"/>
      <c r="G21" s="59"/>
      <c r="H21" s="12"/>
      <c r="I21" s="12"/>
      <c r="J21" s="12"/>
      <c r="K21" s="12"/>
      <c r="L21" s="16">
        <v>1780000</v>
      </c>
    </row>
    <row r="22" spans="1:12" ht="16.8" thickBot="1" x14ac:dyDescent="0.4">
      <c r="A22" s="24"/>
      <c r="B22" s="60" t="s">
        <v>29</v>
      </c>
      <c r="C22" s="61"/>
      <c r="D22" s="61"/>
      <c r="E22" s="61"/>
      <c r="F22" s="61"/>
      <c r="G22" s="61"/>
      <c r="H22" s="62"/>
      <c r="I22" s="62"/>
      <c r="J22" s="62"/>
      <c r="K22" s="62"/>
      <c r="L22" s="63">
        <v>800000</v>
      </c>
    </row>
  </sheetData>
  <mergeCells count="4">
    <mergeCell ref="B19:G19"/>
    <mergeCell ref="B20:G20"/>
    <mergeCell ref="B21:G21"/>
    <mergeCell ref="B22:G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P9" sqref="P9"/>
    </sheetView>
  </sheetViews>
  <sheetFormatPr defaultRowHeight="14.4" x14ac:dyDescent="0.3"/>
  <cols>
    <col min="1" max="1" width="11.21875" customWidth="1"/>
    <col min="3" max="3" width="11.5546875" customWidth="1"/>
    <col min="4" max="4" width="17.21875" customWidth="1"/>
    <col min="6" max="6" width="12.88671875" customWidth="1"/>
    <col min="7" max="7" width="12.5546875" customWidth="1"/>
    <col min="10" max="10" width="12.21875" customWidth="1"/>
    <col min="11" max="11" width="10.77734375" customWidth="1"/>
  </cols>
  <sheetData>
    <row r="1" spans="1:11" ht="16.2" x14ac:dyDescent="0.35">
      <c r="A1" s="24" t="s">
        <v>114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6.8" thickBot="1" x14ac:dyDescent="0.4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16.2" x14ac:dyDescent="0.35">
      <c r="A3" s="24"/>
      <c r="B3" s="64" t="s">
        <v>3</v>
      </c>
      <c r="C3" s="65" t="s">
        <v>30</v>
      </c>
      <c r="D3" s="65" t="s">
        <v>31</v>
      </c>
      <c r="E3" s="65" t="s">
        <v>32</v>
      </c>
      <c r="F3" s="65" t="s">
        <v>33</v>
      </c>
      <c r="G3" s="65" t="s">
        <v>34</v>
      </c>
      <c r="H3" s="65" t="s">
        <v>35</v>
      </c>
      <c r="I3" s="65" t="s">
        <v>36</v>
      </c>
      <c r="J3" s="65" t="s">
        <v>37</v>
      </c>
      <c r="K3" s="66" t="s">
        <v>38</v>
      </c>
    </row>
    <row r="4" spans="1:11" ht="16.2" x14ac:dyDescent="0.35">
      <c r="A4" s="24"/>
      <c r="B4" s="11">
        <v>1</v>
      </c>
      <c r="C4" s="12" t="s">
        <v>39</v>
      </c>
      <c r="D4" s="12" t="s">
        <v>50</v>
      </c>
      <c r="E4" s="12">
        <v>300</v>
      </c>
      <c r="F4" s="12">
        <v>130</v>
      </c>
      <c r="G4" s="12">
        <v>39000</v>
      </c>
      <c r="H4" s="12">
        <v>315</v>
      </c>
      <c r="I4" s="12">
        <v>100</v>
      </c>
      <c r="J4" s="12">
        <v>31500</v>
      </c>
      <c r="K4" s="16" t="s">
        <v>58</v>
      </c>
    </row>
    <row r="5" spans="1:11" ht="16.2" x14ac:dyDescent="0.35">
      <c r="A5" s="24"/>
      <c r="B5" s="11">
        <v>2</v>
      </c>
      <c r="C5" s="12" t="s">
        <v>40</v>
      </c>
      <c r="D5" s="12" t="s">
        <v>50</v>
      </c>
      <c r="E5" s="12">
        <v>300</v>
      </c>
      <c r="F5" s="12">
        <v>130</v>
      </c>
      <c r="G5" s="12">
        <v>39000</v>
      </c>
      <c r="H5" s="12">
        <v>310</v>
      </c>
      <c r="I5" s="12">
        <v>100</v>
      </c>
      <c r="J5" s="12">
        <v>31000</v>
      </c>
      <c r="K5" s="16" t="s">
        <v>58</v>
      </c>
    </row>
    <row r="6" spans="1:11" ht="16.2" x14ac:dyDescent="0.35">
      <c r="A6" s="24"/>
      <c r="B6" s="11">
        <v>3</v>
      </c>
      <c r="C6" s="12" t="s">
        <v>41</v>
      </c>
      <c r="D6" s="12" t="s">
        <v>54</v>
      </c>
      <c r="E6" s="12">
        <v>210</v>
      </c>
      <c r="F6" s="12">
        <v>126</v>
      </c>
      <c r="G6" s="12">
        <v>26460</v>
      </c>
      <c r="H6" s="12">
        <v>222</v>
      </c>
      <c r="I6" s="12">
        <v>85</v>
      </c>
      <c r="J6" s="12">
        <v>18870</v>
      </c>
      <c r="K6" s="16" t="s">
        <v>58</v>
      </c>
    </row>
    <row r="7" spans="1:11" ht="16.2" x14ac:dyDescent="0.35">
      <c r="A7" s="24"/>
      <c r="B7" s="11">
        <v>4</v>
      </c>
      <c r="C7" s="12" t="s">
        <v>42</v>
      </c>
      <c r="D7" s="12" t="s">
        <v>52</v>
      </c>
      <c r="E7" s="12">
        <v>250</v>
      </c>
      <c r="F7" s="12">
        <v>90</v>
      </c>
      <c r="G7" s="12">
        <v>22500</v>
      </c>
      <c r="H7" s="12">
        <v>260</v>
      </c>
      <c r="I7" s="12">
        <v>60</v>
      </c>
      <c r="J7" s="12">
        <v>15600</v>
      </c>
      <c r="K7" s="16" t="s">
        <v>58</v>
      </c>
    </row>
    <row r="8" spans="1:11" ht="16.2" x14ac:dyDescent="0.35">
      <c r="A8" s="24"/>
      <c r="B8" s="11">
        <v>5</v>
      </c>
      <c r="C8" s="12" t="s">
        <v>43</v>
      </c>
      <c r="D8" s="12" t="s">
        <v>56</v>
      </c>
      <c r="E8" s="12">
        <v>220</v>
      </c>
      <c r="F8" s="12">
        <v>70</v>
      </c>
      <c r="G8" s="12">
        <v>15400</v>
      </c>
      <c r="H8" s="12">
        <v>230</v>
      </c>
      <c r="I8" s="12">
        <v>30</v>
      </c>
      <c r="J8" s="12">
        <v>6900</v>
      </c>
      <c r="K8" s="16" t="s">
        <v>58</v>
      </c>
    </row>
    <row r="9" spans="1:11" ht="16.2" x14ac:dyDescent="0.35">
      <c r="A9" s="24"/>
      <c r="B9" s="11">
        <v>6</v>
      </c>
      <c r="C9" s="12" t="s">
        <v>44</v>
      </c>
      <c r="D9" s="12" t="s">
        <v>56</v>
      </c>
      <c r="E9" s="12">
        <v>220</v>
      </c>
      <c r="F9" s="12">
        <v>70</v>
      </c>
      <c r="G9" s="12">
        <v>15400</v>
      </c>
      <c r="H9" s="12">
        <v>235</v>
      </c>
      <c r="I9" s="12">
        <v>30</v>
      </c>
      <c r="J9" s="12">
        <v>7050</v>
      </c>
      <c r="K9" s="16" t="s">
        <v>58</v>
      </c>
    </row>
    <row r="10" spans="1:11" ht="16.2" x14ac:dyDescent="0.35">
      <c r="A10" s="24"/>
      <c r="B10" s="11">
        <v>7</v>
      </c>
      <c r="C10" s="12" t="s">
        <v>45</v>
      </c>
      <c r="D10" s="12" t="s">
        <v>52</v>
      </c>
      <c r="E10" s="12">
        <v>250</v>
      </c>
      <c r="F10" s="12">
        <v>90</v>
      </c>
      <c r="G10" s="12">
        <v>22500</v>
      </c>
      <c r="H10" s="12">
        <v>262</v>
      </c>
      <c r="I10" s="12">
        <v>60</v>
      </c>
      <c r="J10" s="12">
        <v>15720</v>
      </c>
      <c r="K10" s="16" t="s">
        <v>58</v>
      </c>
    </row>
    <row r="11" spans="1:11" ht="16.2" x14ac:dyDescent="0.35">
      <c r="A11" s="24"/>
      <c r="B11" s="11">
        <v>8</v>
      </c>
      <c r="C11" s="12" t="s">
        <v>41</v>
      </c>
      <c r="D11" s="12" t="s">
        <v>54</v>
      </c>
      <c r="E11" s="12">
        <v>210</v>
      </c>
      <c r="F11" s="12">
        <v>126</v>
      </c>
      <c r="G11" s="12">
        <v>26460</v>
      </c>
      <c r="H11" s="12">
        <v>222</v>
      </c>
      <c r="I11" s="12">
        <v>85</v>
      </c>
      <c r="J11" s="12">
        <v>18870</v>
      </c>
      <c r="K11" s="16" t="s">
        <v>58</v>
      </c>
    </row>
    <row r="12" spans="1:11" ht="16.8" thickBot="1" x14ac:dyDescent="0.4">
      <c r="A12" s="24"/>
      <c r="B12" s="67" t="s">
        <v>46</v>
      </c>
      <c r="C12" s="62"/>
      <c r="D12" s="62"/>
      <c r="E12" s="62">
        <v>1960</v>
      </c>
      <c r="F12" s="62">
        <v>832</v>
      </c>
      <c r="G12" s="62">
        <v>206720</v>
      </c>
      <c r="H12" s="62">
        <v>1970</v>
      </c>
      <c r="I12" s="62">
        <v>550</v>
      </c>
      <c r="J12" s="62">
        <v>1083500</v>
      </c>
      <c r="K12" s="63"/>
    </row>
    <row r="13" spans="1:11" ht="16.8" thickBot="1" x14ac:dyDescent="0.4">
      <c r="A13" s="24"/>
      <c r="B13" s="68" t="s">
        <v>47</v>
      </c>
      <c r="C13" s="68"/>
      <c r="D13" s="68"/>
      <c r="E13" s="68"/>
      <c r="F13" s="68"/>
      <c r="G13" s="69"/>
      <c r="H13" s="69"/>
      <c r="I13" s="24"/>
      <c r="J13" s="24"/>
      <c r="K13" s="24"/>
    </row>
    <row r="14" spans="1:11" ht="16.8" thickBot="1" x14ac:dyDescent="0.4">
      <c r="A14" s="24"/>
      <c r="B14" s="70" t="s">
        <v>30</v>
      </c>
      <c r="C14" s="71" t="s">
        <v>48</v>
      </c>
      <c r="D14" s="71"/>
      <c r="E14" s="71"/>
      <c r="F14" s="70" t="s">
        <v>32</v>
      </c>
      <c r="G14" s="70" t="s">
        <v>33</v>
      </c>
      <c r="H14" s="70" t="s">
        <v>36</v>
      </c>
      <c r="I14" s="24"/>
      <c r="J14" s="24"/>
      <c r="K14" s="24"/>
    </row>
    <row r="15" spans="1:11" ht="16.8" thickBot="1" x14ac:dyDescent="0.4">
      <c r="A15" s="24"/>
      <c r="B15" s="72" t="s">
        <v>49</v>
      </c>
      <c r="C15" s="73" t="s">
        <v>50</v>
      </c>
      <c r="D15" s="73"/>
      <c r="E15" s="73"/>
      <c r="F15" s="74">
        <v>300</v>
      </c>
      <c r="G15" s="72">
        <v>130</v>
      </c>
      <c r="H15" s="75">
        <v>100</v>
      </c>
      <c r="I15" s="24"/>
      <c r="J15" s="24"/>
      <c r="K15" s="24"/>
    </row>
    <row r="16" spans="1:11" ht="16.8" thickBot="1" x14ac:dyDescent="0.4">
      <c r="A16" s="24"/>
      <c r="B16" s="72" t="s">
        <v>51</v>
      </c>
      <c r="C16" s="73" t="s">
        <v>52</v>
      </c>
      <c r="D16" s="73"/>
      <c r="E16" s="73"/>
      <c r="F16" s="74">
        <v>250</v>
      </c>
      <c r="G16" s="72">
        <v>90</v>
      </c>
      <c r="H16" s="75">
        <v>60</v>
      </c>
      <c r="I16" s="24"/>
      <c r="J16" s="24"/>
      <c r="K16" s="24"/>
    </row>
    <row r="17" spans="1:11" ht="16.8" thickBot="1" x14ac:dyDescent="0.4">
      <c r="A17" s="24"/>
      <c r="B17" s="72" t="s">
        <v>53</v>
      </c>
      <c r="C17" s="73" t="s">
        <v>54</v>
      </c>
      <c r="D17" s="73"/>
      <c r="E17" s="73"/>
      <c r="F17" s="74">
        <v>210</v>
      </c>
      <c r="G17" s="72">
        <v>126</v>
      </c>
      <c r="H17" s="75">
        <v>85</v>
      </c>
      <c r="I17" s="24"/>
      <c r="J17" s="24"/>
      <c r="K17" s="24"/>
    </row>
    <row r="18" spans="1:11" ht="16.8" thickBot="1" x14ac:dyDescent="0.4">
      <c r="A18" s="24"/>
      <c r="B18" s="76" t="s">
        <v>55</v>
      </c>
      <c r="C18" s="77" t="s">
        <v>56</v>
      </c>
      <c r="D18" s="77"/>
      <c r="E18" s="77"/>
      <c r="F18" s="78">
        <v>220</v>
      </c>
      <c r="G18" s="76">
        <v>70</v>
      </c>
      <c r="H18" s="79">
        <v>30</v>
      </c>
      <c r="I18" s="24"/>
      <c r="J18" s="24"/>
      <c r="K18" s="24"/>
    </row>
    <row r="19" spans="1:11" ht="16.2" x14ac:dyDescent="0.35">
      <c r="A19" s="24"/>
      <c r="B19" s="64" t="s">
        <v>57</v>
      </c>
      <c r="C19" s="65"/>
      <c r="D19" s="65"/>
      <c r="E19" s="65"/>
      <c r="F19" s="65"/>
      <c r="G19" s="65"/>
      <c r="H19" s="65"/>
      <c r="I19" s="65"/>
      <c r="J19" s="65"/>
      <c r="K19" s="66"/>
    </row>
    <row r="20" spans="1:11" ht="16.2" x14ac:dyDescent="0.35">
      <c r="A20" s="24"/>
      <c r="B20" s="80" t="s">
        <v>3</v>
      </c>
      <c r="C20" s="81" t="s">
        <v>30</v>
      </c>
      <c r="D20" s="81" t="s">
        <v>31</v>
      </c>
      <c r="E20" s="81" t="s">
        <v>32</v>
      </c>
      <c r="F20" s="81" t="s">
        <v>33</v>
      </c>
      <c r="G20" s="81" t="s">
        <v>34</v>
      </c>
      <c r="H20" s="81" t="s">
        <v>35</v>
      </c>
      <c r="I20" s="81" t="s">
        <v>36</v>
      </c>
      <c r="J20" s="81" t="s">
        <v>37</v>
      </c>
      <c r="K20" s="82" t="s">
        <v>38</v>
      </c>
    </row>
    <row r="21" spans="1:11" ht="16.2" x14ac:dyDescent="0.35">
      <c r="A21" s="24"/>
      <c r="B21" s="11">
        <v>1</v>
      </c>
      <c r="C21" s="12" t="s">
        <v>39</v>
      </c>
      <c r="D21" s="12" t="s">
        <v>50</v>
      </c>
      <c r="E21" s="12">
        <v>300</v>
      </c>
      <c r="F21" s="12">
        <v>130</v>
      </c>
      <c r="G21" s="12">
        <v>39000</v>
      </c>
      <c r="H21" s="12">
        <v>315</v>
      </c>
      <c r="I21" s="12">
        <v>100</v>
      </c>
      <c r="J21" s="12">
        <v>31500</v>
      </c>
      <c r="K21" s="16" t="s">
        <v>58</v>
      </c>
    </row>
    <row r="22" spans="1:11" ht="16.2" x14ac:dyDescent="0.35">
      <c r="A22" s="24"/>
      <c r="B22" s="11">
        <v>2</v>
      </c>
      <c r="C22" s="12" t="s">
        <v>40</v>
      </c>
      <c r="D22" s="12" t="s">
        <v>50</v>
      </c>
      <c r="E22" s="12">
        <v>300</v>
      </c>
      <c r="F22" s="12">
        <v>130</v>
      </c>
      <c r="G22" s="12">
        <v>39000</v>
      </c>
      <c r="H22" s="12">
        <v>310</v>
      </c>
      <c r="I22" s="12">
        <v>100</v>
      </c>
      <c r="J22" s="12">
        <v>31000</v>
      </c>
      <c r="K22" s="16" t="s">
        <v>58</v>
      </c>
    </row>
    <row r="23" spans="1:11" ht="16.8" thickBot="1" x14ac:dyDescent="0.4">
      <c r="A23" s="24"/>
      <c r="B23" s="67" t="s">
        <v>46</v>
      </c>
      <c r="C23" s="62"/>
      <c r="D23" s="62"/>
      <c r="E23" s="62">
        <v>1960</v>
      </c>
      <c r="F23" s="62">
        <v>832</v>
      </c>
      <c r="G23" s="62">
        <v>206720</v>
      </c>
      <c r="H23" s="62">
        <v>1970</v>
      </c>
      <c r="I23" s="62">
        <v>550</v>
      </c>
      <c r="J23" s="62">
        <v>1083500</v>
      </c>
      <c r="K23" s="63"/>
    </row>
  </sheetData>
  <mergeCells count="6">
    <mergeCell ref="B13:F13"/>
    <mergeCell ref="C14:E14"/>
    <mergeCell ref="C15:E15"/>
    <mergeCell ref="C16:E16"/>
    <mergeCell ref="C17:E17"/>
    <mergeCell ref="C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2025-12-20T07:38:41Z</dcterms:created>
  <dcterms:modified xsi:type="dcterms:W3CDTF">2025-12-21T03:13:16Z</dcterms:modified>
</cp:coreProperties>
</file>