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FE517785-C06E-4BAA-912B-9416A7344CFB}" xr6:coauthVersionLast="45" xr6:coauthVersionMax="45" xr10:uidLastSave="{00000000-0000-0000-0000-000000000000}"/>
  <bookViews>
    <workbookView xWindow="-110" yWindow="-110" windowWidth="19420" windowHeight="10420" xr2:uid="{13F86D68-2902-4FB2-B42A-C93967D3E5CA}"/>
  </bookViews>
  <sheets>
    <sheet name="BANG1" sheetId="1" r:id="rId1"/>
    <sheet name="BANG2" sheetId="2" r:id="rId2"/>
    <sheet name="BANG3" sheetId="3" r:id="rId3"/>
    <sheet name="BANG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4" l="1"/>
  <c r="F10" i="4"/>
  <c r="G10" i="4"/>
  <c r="H10" i="4"/>
  <c r="D10" i="4"/>
  <c r="G3" i="4"/>
  <c r="G4" i="4"/>
  <c r="G5" i="4"/>
  <c r="G6" i="4"/>
  <c r="G7" i="4"/>
  <c r="G8" i="4"/>
  <c r="G9" i="4"/>
  <c r="G2" i="4"/>
  <c r="H2" i="4" s="1"/>
  <c r="F4" i="4"/>
  <c r="F2" i="4"/>
  <c r="E3" i="4"/>
  <c r="E5" i="4"/>
  <c r="E6" i="4"/>
  <c r="E7" i="4"/>
  <c r="E8" i="4"/>
  <c r="E2" i="4"/>
  <c r="D2" i="4"/>
  <c r="F9" i="4" s="1"/>
  <c r="D3" i="4"/>
  <c r="H3" i="4" s="1"/>
  <c r="D4" i="4"/>
  <c r="H4" i="4" s="1"/>
  <c r="D5" i="4"/>
  <c r="H5" i="4" s="1"/>
  <c r="D6" i="4"/>
  <c r="H6" i="4" s="1"/>
  <c r="D7" i="4"/>
  <c r="H7" i="4" s="1"/>
  <c r="D8" i="4"/>
  <c r="H8" i="4" s="1"/>
  <c r="D9" i="4"/>
  <c r="H9" i="4" s="1"/>
  <c r="C3" i="4"/>
  <c r="C4" i="4"/>
  <c r="C5" i="4"/>
  <c r="C6" i="4"/>
  <c r="C7" i="4"/>
  <c r="C8" i="4"/>
  <c r="C9" i="4"/>
  <c r="C2" i="4"/>
  <c r="I18" i="3"/>
  <c r="J18" i="3"/>
  <c r="K18" i="3"/>
  <c r="H18" i="3"/>
  <c r="H19" i="3"/>
  <c r="H20" i="3"/>
  <c r="I19" i="3"/>
  <c r="I20" i="3"/>
  <c r="J19" i="3"/>
  <c r="J20" i="3"/>
  <c r="K20" i="3"/>
  <c r="K19" i="3"/>
  <c r="I17" i="3"/>
  <c r="J17" i="3"/>
  <c r="K17" i="3"/>
  <c r="H1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J4" i="3"/>
  <c r="J8" i="3"/>
  <c r="J12" i="3"/>
  <c r="J16" i="3"/>
  <c r="J2" i="3"/>
  <c r="H16" i="3"/>
  <c r="H15" i="3"/>
  <c r="J15" i="3" s="1"/>
  <c r="H14" i="3"/>
  <c r="J14" i="3" s="1"/>
  <c r="H13" i="3"/>
  <c r="J13" i="3" s="1"/>
  <c r="H12" i="3"/>
  <c r="H11" i="3"/>
  <c r="J11" i="3" s="1"/>
  <c r="H10" i="3"/>
  <c r="J10" i="3" s="1"/>
  <c r="H9" i="3"/>
  <c r="J9" i="3" s="1"/>
  <c r="H8" i="3"/>
  <c r="H7" i="3"/>
  <c r="J7" i="3" s="1"/>
  <c r="H6" i="3"/>
  <c r="J6" i="3" s="1"/>
  <c r="H5" i="3"/>
  <c r="J5" i="3" s="1"/>
  <c r="H4" i="3"/>
  <c r="H3" i="3"/>
  <c r="J3" i="3" s="1"/>
  <c r="H2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F3" i="4" l="1"/>
  <c r="F5" i="4"/>
  <c r="F6" i="4"/>
  <c r="F7" i="4"/>
  <c r="F8" i="4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K3" i="1"/>
  <c r="K5" i="1"/>
  <c r="K6" i="1"/>
  <c r="K7" i="1"/>
  <c r="K8" i="1"/>
  <c r="K9" i="1"/>
  <c r="K10" i="1"/>
  <c r="K11" i="1"/>
  <c r="K12" i="1"/>
  <c r="K13" i="1"/>
  <c r="K14" i="1"/>
  <c r="K4" i="1"/>
  <c r="J4" i="1"/>
  <c r="J5" i="1"/>
  <c r="J6" i="1"/>
  <c r="J7" i="1"/>
  <c r="J8" i="1"/>
  <c r="J9" i="1"/>
  <c r="J10" i="1"/>
  <c r="J11" i="1"/>
  <c r="J12" i="1"/>
  <c r="J13" i="1"/>
  <c r="J14" i="1"/>
  <c r="J3" i="1"/>
  <c r="H17" i="1"/>
  <c r="H16" i="1"/>
  <c r="H15" i="1"/>
  <c r="H4" i="1"/>
  <c r="H5" i="1"/>
  <c r="H6" i="1"/>
  <c r="H7" i="1"/>
  <c r="H8" i="1"/>
  <c r="H9" i="1"/>
  <c r="H10" i="1"/>
  <c r="H11" i="1"/>
  <c r="H12" i="1"/>
  <c r="H13" i="1"/>
  <c r="H14" i="1"/>
  <c r="H3" i="1"/>
</calcChain>
</file>

<file path=xl/sharedStrings.xml><?xml version="1.0" encoding="utf-8"?>
<sst xmlns="http://schemas.openxmlformats.org/spreadsheetml/2006/main" count="155" uniqueCount="108">
  <si>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</si>
  <si>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</si>
  <si>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</si>
  <si>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</si>
  <si>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</si>
  <si>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</si>
  <si>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</si>
  <si>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</si>
  <si>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</si>
  <si>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</si>
  <si>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</si>
  <si>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</si>
  <si>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</si>
  <si>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HIỆP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</si>
  <si>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</si>
  <si>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</si>
  <si>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</si>
  <si>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</si>
  <si>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</si>
  <si>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</si>
  <si>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</si>
  <si>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</si>
  <si>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</si>
  <si>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</si>
  <si>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ĐẠT</t>
  </si>
  <si>
    <t>RỚT</t>
  </si>
  <si>
    <t>TRUNG BÌNH</t>
  </si>
  <si>
    <t>CAO NHẤT</t>
  </si>
  <si>
    <t>THẤP NHẤT</t>
  </si>
  <si>
    <t>KHEN THƯỞNG</t>
  </si>
  <si>
    <t>DANH SÁCH THƯỞNG THÁNG 03</t>
  </si>
  <si>
    <t>HỌ</t>
  </si>
  <si>
    <t>Trần Thanh</t>
  </si>
  <si>
    <t>Phạm Hùng</t>
  </si>
  <si>
    <t>Lê Ngọc</t>
  </si>
  <si>
    <t>Phạm Thanh</t>
  </si>
  <si>
    <t>Phạm Hoài</t>
  </si>
  <si>
    <t>Lê Thanh</t>
  </si>
  <si>
    <t>TÊN</t>
  </si>
  <si>
    <t xml:space="preserve">Tuấn </t>
  </si>
  <si>
    <t>Cường</t>
  </si>
  <si>
    <t>Xuân</t>
  </si>
  <si>
    <t>Long</t>
  </si>
  <si>
    <t>Nam</t>
  </si>
  <si>
    <t>Lan</t>
  </si>
  <si>
    <t>NGÀY CÔNG</t>
  </si>
  <si>
    <t>THƯỞNG 8-3</t>
  </si>
  <si>
    <t>THƯỞNG A</t>
  </si>
  <si>
    <t>THƯỞNG B</t>
  </si>
  <si>
    <t>HỌ VÀ TÊN</t>
  </si>
  <si>
    <t>Nguyễn Văn Tâm</t>
  </si>
  <si>
    <t>Nguyễn Thị Hằng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</si>
  <si>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</si>
  <si>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</si>
  <si>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</si>
  <si>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</si>
  <si>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</si>
  <si>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</si>
  <si>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</si>
  <si>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</si>
  <si>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</si>
  <si>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Thiị Phượng</t>
  </si>
  <si>
    <t>Võ Tấn Thành</t>
  </si>
  <si>
    <t>Lê Văn Minh</t>
  </si>
  <si>
    <t>Doãn Hòa</t>
  </si>
  <si>
    <t>CHỨC VỤ</t>
  </si>
  <si>
    <t>TP</t>
  </si>
  <si>
    <t>NV</t>
  </si>
  <si>
    <t>PP</t>
  </si>
  <si>
    <t>KT</t>
  </si>
  <si>
    <t>BV</t>
  </si>
  <si>
    <t>GĐ</t>
  </si>
  <si>
    <t>PGĐ</t>
  </si>
  <si>
    <t>NĂM SINH</t>
  </si>
  <si>
    <t>LCB</t>
  </si>
  <si>
    <t>NGÀY</t>
  </si>
  <si>
    <t>LƯƠNG</t>
  </si>
  <si>
    <t>TẠM ỨNG</t>
  </si>
  <si>
    <t>TỔNG CỘNG</t>
  </si>
  <si>
    <t>BÌNH QUÂN</t>
  </si>
  <si>
    <t>TUỔI</t>
  </si>
  <si>
    <t>THƯỞNG</t>
  </si>
  <si>
    <t>CÒN LẠI</t>
  </si>
  <si>
    <t>MÃ HÀNG</t>
  </si>
  <si>
    <t>TÊN HÀNG</t>
  </si>
  <si>
    <t>GIÁ NHẬP</t>
  </si>
  <si>
    <t>SL NHẬP</t>
  </si>
  <si>
    <t>TIỀN NHẬP</t>
  </si>
  <si>
    <t>SL XUẤT</t>
  </si>
  <si>
    <t>TIỀN XUẤT</t>
  </si>
  <si>
    <t>GHI CHÚ</t>
  </si>
  <si>
    <t>Pa0A12</t>
  </si>
  <si>
    <t>Pa0C15</t>
  </si>
  <si>
    <t>Sa0B2</t>
  </si>
  <si>
    <t>To0C23</t>
  </si>
  <si>
    <t>Hi0A13</t>
  </si>
  <si>
    <t>To0B12</t>
  </si>
  <si>
    <t>Hi0C12</t>
  </si>
  <si>
    <t>Bảng tra dữ liệu các loại máy lạnh: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</si>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</sst>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NumberFormat="1" applyAlignment="1"/>
    <xf numFmtId="1" fontId="0" fillId="0" borderId="0" xfId="0" applyNumberFormat="1" applyAlignment="1"/>
    <xf numFmtId="0" fontId="2" fillId="0" borderId="0" xfId="0" applyNumberFormat="1" applyFont="1"/>
    <xf numFmtId="0" fontId="0" fillId="0" borderId="0" xfId="0" applyNumberFormat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D2F5-DB21-473A-84F6-6E2C60817585}">
  <dimension ref="A1:K17"/>
  <sheetViews>
    <sheetView tabSelected="1" workbookViewId="0">
      <selection activeCell="E20" sqref="E20"/>
    </sheetView>
  </sheetViews>
  <sheetFormatPr defaultRowHeight="15.5" x14ac:dyDescent="0.35"/>
  <cols>
    <col min="2" max="2" width="8.58203125" customWidth="1"/>
    <col min="7" max="7" width="12.9140625" customWidth="1"/>
    <col min="8" max="8" width="9" bestFit="1" customWidth="1"/>
    <col min="9" max="9" width="9.4140625" customWidth="1"/>
    <col min="10" max="10" width="10.6640625" customWidth="1"/>
    <col min="11" max="11" width="16.4140625" customWidth="1"/>
  </cols>
  <sheetData>
    <row r="1" spans="1:1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3"/>
    </row>
    <row r="2" spans="1:11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29</v>
      </c>
    </row>
    <row r="3" spans="1:11" x14ac:dyDescent="0.35">
      <c r="A3">
        <v>1</v>
      </c>
      <c r="B3" t="s">
        <v>11</v>
      </c>
      <c r="C3" s="1" t="s">
        <v>18</v>
      </c>
      <c r="D3" s="1">
        <v>1988</v>
      </c>
      <c r="E3" s="2">
        <v>10</v>
      </c>
      <c r="F3" s="2">
        <v>8</v>
      </c>
      <c r="G3" s="2">
        <v>9</v>
      </c>
      <c r="H3">
        <f>ROUND((E3*2+F3*2+G3)/5,2)</f>
        <v>9</v>
      </c>
      <c r="I3" s="1" t="s">
        <v>24</v>
      </c>
      <c r="J3" s="5">
        <f>RANK(H3,$H$3:$H$14,0)</f>
        <v>1</v>
      </c>
      <c r="K3" s="5">
        <f>IF(J3=1,200000,IF(J3=2,100000,0))</f>
        <v>200000</v>
      </c>
    </row>
    <row r="4" spans="1:11" x14ac:dyDescent="0.35">
      <c r="A4">
        <v>2</v>
      </c>
      <c r="B4" t="s">
        <v>12</v>
      </c>
      <c r="C4" s="1" t="s">
        <v>18</v>
      </c>
      <c r="D4" s="1">
        <v>1987</v>
      </c>
      <c r="E4" s="2">
        <v>8</v>
      </c>
      <c r="F4" s="2">
        <v>8.5</v>
      </c>
      <c r="G4" s="2">
        <v>9</v>
      </c>
      <c r="H4">
        <f t="shared" ref="H4:H14" si="0">ROUND((E4*2+F4*2+G4)/5,2)</f>
        <v>8.4</v>
      </c>
      <c r="I4" s="1" t="s">
        <v>24</v>
      </c>
      <c r="J4" s="5">
        <f t="shared" ref="J4:J14" si="1">RANK(H4,$H$3:$H$14,0)</f>
        <v>2</v>
      </c>
      <c r="K4" s="5">
        <f t="shared" ref="K4:K14" si="2">IF(J4=1,200000,IF(J4=2,100000,0))</f>
        <v>100000</v>
      </c>
    </row>
    <row r="5" spans="1:11" x14ac:dyDescent="0.35">
      <c r="A5">
        <v>3</v>
      </c>
      <c r="B5" t="s">
        <v>13</v>
      </c>
      <c r="C5" s="1" t="s">
        <v>18</v>
      </c>
      <c r="D5" s="1">
        <v>1986</v>
      </c>
      <c r="E5" s="2">
        <v>9</v>
      </c>
      <c r="F5" s="2">
        <v>8</v>
      </c>
      <c r="G5" s="2">
        <v>7</v>
      </c>
      <c r="H5">
        <f t="shared" si="0"/>
        <v>8.1999999999999993</v>
      </c>
      <c r="I5" s="1" t="s">
        <v>24</v>
      </c>
      <c r="J5">
        <f t="shared" si="1"/>
        <v>3</v>
      </c>
      <c r="K5">
        <f t="shared" si="2"/>
        <v>0</v>
      </c>
    </row>
    <row r="6" spans="1:11" x14ac:dyDescent="0.35">
      <c r="A6">
        <v>4</v>
      </c>
      <c r="B6" t="s">
        <v>14</v>
      </c>
      <c r="C6" s="1" t="s">
        <v>23</v>
      </c>
      <c r="D6" s="1">
        <v>1988</v>
      </c>
      <c r="E6" s="2">
        <v>10</v>
      </c>
      <c r="F6" s="2">
        <v>4</v>
      </c>
      <c r="G6" s="2">
        <v>7</v>
      </c>
      <c r="H6">
        <f t="shared" si="0"/>
        <v>7</v>
      </c>
      <c r="I6" s="1" t="s">
        <v>24</v>
      </c>
      <c r="J6">
        <f t="shared" si="1"/>
        <v>4</v>
      </c>
      <c r="K6">
        <f t="shared" si="2"/>
        <v>0</v>
      </c>
    </row>
    <row r="7" spans="1:11" x14ac:dyDescent="0.35">
      <c r="A7">
        <v>5</v>
      </c>
      <c r="B7" t="s">
        <v>15</v>
      </c>
      <c r="C7" s="1" t="s">
        <v>18</v>
      </c>
      <c r="D7" s="1">
        <v>1988</v>
      </c>
      <c r="E7" s="2">
        <v>9</v>
      </c>
      <c r="F7" s="2">
        <v>5</v>
      </c>
      <c r="G7" s="2">
        <v>6</v>
      </c>
      <c r="H7">
        <f t="shared" si="0"/>
        <v>6.8</v>
      </c>
      <c r="I7" s="1" t="s">
        <v>24</v>
      </c>
      <c r="J7">
        <f t="shared" si="1"/>
        <v>5</v>
      </c>
      <c r="K7">
        <f t="shared" si="2"/>
        <v>0</v>
      </c>
    </row>
    <row r="8" spans="1:11" x14ac:dyDescent="0.35">
      <c r="A8">
        <v>6</v>
      </c>
      <c r="B8" t="s">
        <v>16</v>
      </c>
      <c r="C8" s="1" t="s">
        <v>23</v>
      </c>
      <c r="D8" s="1">
        <v>1987</v>
      </c>
      <c r="E8" s="2">
        <v>6</v>
      </c>
      <c r="F8" s="2">
        <v>6</v>
      </c>
      <c r="G8" s="2">
        <v>8</v>
      </c>
      <c r="H8">
        <f t="shared" si="0"/>
        <v>6.4</v>
      </c>
      <c r="I8" s="1" t="s">
        <v>24</v>
      </c>
      <c r="J8">
        <f t="shared" si="1"/>
        <v>6</v>
      </c>
      <c r="K8">
        <f t="shared" si="2"/>
        <v>0</v>
      </c>
    </row>
    <row r="9" spans="1:11" x14ac:dyDescent="0.35">
      <c r="A9">
        <v>7</v>
      </c>
      <c r="B9" t="s">
        <v>17</v>
      </c>
      <c r="C9" s="1" t="s">
        <v>18</v>
      </c>
      <c r="D9" s="1">
        <v>1986</v>
      </c>
      <c r="E9" s="2">
        <v>7.5</v>
      </c>
      <c r="F9" s="2">
        <v>5</v>
      </c>
      <c r="G9" s="2">
        <v>6</v>
      </c>
      <c r="H9">
        <f t="shared" si="0"/>
        <v>6.2</v>
      </c>
      <c r="I9" s="1" t="s">
        <v>24</v>
      </c>
      <c r="J9">
        <f t="shared" si="1"/>
        <v>7</v>
      </c>
      <c r="K9">
        <f t="shared" si="2"/>
        <v>0</v>
      </c>
    </row>
    <row r="10" spans="1:11" x14ac:dyDescent="0.35">
      <c r="A10">
        <v>8</v>
      </c>
      <c r="B10" t="s">
        <v>18</v>
      </c>
      <c r="C10" s="1" t="s">
        <v>18</v>
      </c>
      <c r="D10" s="1">
        <v>1988</v>
      </c>
      <c r="E10" s="2">
        <v>3</v>
      </c>
      <c r="F10" s="2">
        <v>9</v>
      </c>
      <c r="G10" s="2">
        <v>7</v>
      </c>
      <c r="H10">
        <f t="shared" si="0"/>
        <v>6.2</v>
      </c>
      <c r="I10" s="1" t="s">
        <v>24</v>
      </c>
      <c r="J10">
        <f t="shared" si="1"/>
        <v>7</v>
      </c>
      <c r="K10">
        <f t="shared" si="2"/>
        <v>0</v>
      </c>
    </row>
    <row r="11" spans="1:11" x14ac:dyDescent="0.35">
      <c r="A11">
        <v>9</v>
      </c>
      <c r="B11" t="s">
        <v>19</v>
      </c>
      <c r="C11" s="1" t="s">
        <v>23</v>
      </c>
      <c r="D11" s="1">
        <v>1988</v>
      </c>
      <c r="E11" s="2">
        <v>4</v>
      </c>
      <c r="F11" s="2">
        <v>5</v>
      </c>
      <c r="G11" s="2">
        <v>5.5</v>
      </c>
      <c r="H11">
        <f t="shared" si="0"/>
        <v>4.7</v>
      </c>
      <c r="I11" s="1" t="s">
        <v>25</v>
      </c>
      <c r="J11">
        <f t="shared" si="1"/>
        <v>10</v>
      </c>
      <c r="K11">
        <f t="shared" si="2"/>
        <v>0</v>
      </c>
    </row>
    <row r="12" spans="1:11" x14ac:dyDescent="0.35">
      <c r="A12">
        <v>10</v>
      </c>
      <c r="B12" t="s">
        <v>20</v>
      </c>
      <c r="C12" s="1" t="s">
        <v>23</v>
      </c>
      <c r="D12" s="1">
        <v>1988</v>
      </c>
      <c r="E12" s="2">
        <v>4.5</v>
      </c>
      <c r="F12" s="2">
        <v>6</v>
      </c>
      <c r="G12" s="2">
        <v>4</v>
      </c>
      <c r="H12">
        <f t="shared" si="0"/>
        <v>5</v>
      </c>
      <c r="I12" s="1" t="s">
        <v>24</v>
      </c>
      <c r="J12">
        <f t="shared" si="1"/>
        <v>9</v>
      </c>
      <c r="K12">
        <f t="shared" si="2"/>
        <v>0</v>
      </c>
    </row>
    <row r="13" spans="1:11" x14ac:dyDescent="0.35">
      <c r="A13">
        <v>11</v>
      </c>
      <c r="B13" t="s">
        <v>21</v>
      </c>
      <c r="C13" s="1" t="s">
        <v>18</v>
      </c>
      <c r="D13" s="1">
        <v>1987</v>
      </c>
      <c r="E13" s="2">
        <v>3</v>
      </c>
      <c r="F13" s="2">
        <v>5</v>
      </c>
      <c r="G13" s="2">
        <v>5</v>
      </c>
      <c r="H13">
        <f t="shared" si="0"/>
        <v>4.2</v>
      </c>
      <c r="I13" s="1" t="s">
        <v>25</v>
      </c>
      <c r="J13">
        <f t="shared" si="1"/>
        <v>11</v>
      </c>
      <c r="K13">
        <f t="shared" si="2"/>
        <v>0</v>
      </c>
    </row>
    <row r="14" spans="1:11" x14ac:dyDescent="0.35">
      <c r="A14">
        <v>12</v>
      </c>
      <c r="B14" t="s">
        <v>22</v>
      </c>
      <c r="C14" s="1" t="s">
        <v>18</v>
      </c>
      <c r="D14" s="1">
        <v>1986</v>
      </c>
      <c r="E14" s="2">
        <v>4</v>
      </c>
      <c r="F14" s="2">
        <v>3</v>
      </c>
      <c r="G14" s="2">
        <v>5</v>
      </c>
      <c r="H14">
        <f t="shared" si="0"/>
        <v>3.8</v>
      </c>
      <c r="I14" s="1" t="s">
        <v>25</v>
      </c>
      <c r="J14">
        <f t="shared" si="1"/>
        <v>12</v>
      </c>
      <c r="K14">
        <f t="shared" si="2"/>
        <v>0</v>
      </c>
    </row>
    <row r="15" spans="1:11" x14ac:dyDescent="0.35">
      <c r="A15" s="13" t="s">
        <v>26</v>
      </c>
      <c r="B15" s="13"/>
      <c r="C15" s="13"/>
      <c r="D15" s="13"/>
      <c r="H15" s="5">
        <f>AVERAGE(H3:H14)</f>
        <v>6.3250000000000002</v>
      </c>
    </row>
    <row r="16" spans="1:11" x14ac:dyDescent="0.35">
      <c r="A16" s="13" t="s">
        <v>27</v>
      </c>
      <c r="B16" s="13"/>
      <c r="C16" s="13"/>
      <c r="D16" s="13"/>
      <c r="H16" s="5">
        <f>MAX(H3:H14)</f>
        <v>9</v>
      </c>
    </row>
    <row r="17" spans="1:8" x14ac:dyDescent="0.35">
      <c r="A17" s="13" t="s">
        <v>28</v>
      </c>
      <c r="B17" s="13"/>
      <c r="C17" s="13"/>
      <c r="D17" s="13"/>
      <c r="H17" s="5">
        <f>MIN(H3:H14)</f>
        <v>3.8</v>
      </c>
    </row>
  </sheetData>
  <mergeCells count="4">
    <mergeCell ref="A1:I1"/>
    <mergeCell ref="A15:D15"/>
    <mergeCell ref="A16:D16"/>
    <mergeCell ref="A17:D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49B0-47BA-46BE-BAC9-7E4BCF475AD4}">
  <dimension ref="A1:J8"/>
  <sheetViews>
    <sheetView workbookViewId="0">
      <selection activeCell="H2" sqref="H2"/>
    </sheetView>
  </sheetViews>
  <sheetFormatPr defaultRowHeight="15.5" x14ac:dyDescent="0.35"/>
  <cols>
    <col min="2" max="2" width="15.08203125" customWidth="1"/>
    <col min="5" max="5" width="13.9140625" customWidth="1"/>
    <col min="6" max="6" width="15.1640625" customWidth="1"/>
    <col min="7" max="7" width="14.83203125" customWidth="1"/>
    <col min="8" max="8" width="13.58203125" customWidth="1"/>
  </cols>
  <sheetData>
    <row r="1" spans="1:10" x14ac:dyDescent="0.35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5">
      <c r="A2" s="6" t="s">
        <v>1</v>
      </c>
      <c r="B2" s="6" t="s">
        <v>31</v>
      </c>
      <c r="C2" s="6" t="s">
        <v>38</v>
      </c>
      <c r="D2" s="6" t="s">
        <v>3</v>
      </c>
      <c r="E2" s="6" t="s">
        <v>45</v>
      </c>
      <c r="F2" s="6" t="s">
        <v>46</v>
      </c>
      <c r="G2" s="6" t="s">
        <v>47</v>
      </c>
      <c r="H2" s="6" t="s">
        <v>48</v>
      </c>
    </row>
    <row r="3" spans="1:10" x14ac:dyDescent="0.35">
      <c r="A3" s="1">
        <v>1</v>
      </c>
      <c r="B3" s="1" t="s">
        <v>32</v>
      </c>
      <c r="C3" s="1" t="s">
        <v>39</v>
      </c>
      <c r="D3" s="1" t="s">
        <v>18</v>
      </c>
      <c r="E3">
        <v>25</v>
      </c>
      <c r="F3">
        <f>IF(D3="NỮ",200000,0)</f>
        <v>0</v>
      </c>
      <c r="G3">
        <f>IF(E3&gt;=24,300000,0)</f>
        <v>300000</v>
      </c>
      <c r="H3">
        <f>IF(OR(AND(D3="NAM",E3&gt;26),AND(D3="NỮ",E3&gt;25)),100000,0)</f>
        <v>0</v>
      </c>
    </row>
    <row r="4" spans="1:10" x14ac:dyDescent="0.35">
      <c r="A4" s="1">
        <v>2</v>
      </c>
      <c r="B4" s="1" t="s">
        <v>33</v>
      </c>
      <c r="C4" s="1" t="s">
        <v>40</v>
      </c>
      <c r="D4" s="1" t="s">
        <v>18</v>
      </c>
      <c r="E4">
        <v>24</v>
      </c>
      <c r="F4">
        <f t="shared" ref="F4:F8" si="0">IF(D4="NỮ",200000,0)</f>
        <v>0</v>
      </c>
      <c r="G4">
        <f t="shared" ref="G4:G8" si="1">IF(E4&gt;=24,300000,0)</f>
        <v>300000</v>
      </c>
      <c r="H4">
        <f t="shared" ref="H4:H8" si="2">IF(OR(AND(D4="NAM",E4&gt;26),AND(D4="NỮ",E4&gt;25)),100000,0)</f>
        <v>0</v>
      </c>
    </row>
    <row r="5" spans="1:10" x14ac:dyDescent="0.35">
      <c r="A5" s="1">
        <v>3</v>
      </c>
      <c r="B5" s="1" t="s">
        <v>34</v>
      </c>
      <c r="C5" s="1" t="s">
        <v>41</v>
      </c>
      <c r="D5" s="1" t="s">
        <v>23</v>
      </c>
      <c r="E5">
        <v>26</v>
      </c>
      <c r="F5">
        <f t="shared" si="0"/>
        <v>200000</v>
      </c>
      <c r="G5">
        <f t="shared" si="1"/>
        <v>300000</v>
      </c>
      <c r="H5">
        <f t="shared" si="2"/>
        <v>100000</v>
      </c>
    </row>
    <row r="6" spans="1:10" x14ac:dyDescent="0.35">
      <c r="A6" s="1">
        <v>4</v>
      </c>
      <c r="B6" s="1" t="s">
        <v>35</v>
      </c>
      <c r="C6" s="1" t="s">
        <v>42</v>
      </c>
      <c r="D6" s="1" t="s">
        <v>23</v>
      </c>
      <c r="E6">
        <v>22</v>
      </c>
      <c r="F6">
        <f t="shared" si="0"/>
        <v>200000</v>
      </c>
      <c r="G6">
        <f t="shared" si="1"/>
        <v>0</v>
      </c>
      <c r="H6">
        <f t="shared" si="2"/>
        <v>0</v>
      </c>
    </row>
    <row r="7" spans="1:10" x14ac:dyDescent="0.35">
      <c r="A7" s="1">
        <v>5</v>
      </c>
      <c r="B7" s="1" t="s">
        <v>36</v>
      </c>
      <c r="C7" s="1" t="s">
        <v>43</v>
      </c>
      <c r="D7" s="1" t="s">
        <v>18</v>
      </c>
      <c r="E7">
        <v>27</v>
      </c>
      <c r="F7">
        <f t="shared" si="0"/>
        <v>0</v>
      </c>
      <c r="G7">
        <f t="shared" si="1"/>
        <v>300000</v>
      </c>
      <c r="H7">
        <f t="shared" si="2"/>
        <v>100000</v>
      </c>
    </row>
    <row r="8" spans="1:10" x14ac:dyDescent="0.35">
      <c r="A8" s="1">
        <v>6</v>
      </c>
      <c r="B8" s="1" t="s">
        <v>37</v>
      </c>
      <c r="C8" s="1" t="s">
        <v>44</v>
      </c>
      <c r="D8" s="1" t="s">
        <v>23</v>
      </c>
      <c r="E8">
        <v>25</v>
      </c>
      <c r="F8">
        <f t="shared" si="0"/>
        <v>200000</v>
      </c>
      <c r="G8">
        <f t="shared" si="1"/>
        <v>300000</v>
      </c>
      <c r="H8">
        <f t="shared" si="2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B8D9-E30E-4EE2-9A44-219BDEB48499}">
  <dimension ref="A1:K20"/>
  <sheetViews>
    <sheetView topLeftCell="A10" workbookViewId="0">
      <selection activeCell="H20" sqref="H20"/>
    </sheetView>
  </sheetViews>
  <sheetFormatPr defaultRowHeight="15.5" x14ac:dyDescent="0.35"/>
  <cols>
    <col min="2" max="2" width="19.08203125" customWidth="1"/>
    <col min="3" max="3" width="12" customWidth="1"/>
    <col min="4" max="4" width="17.58203125" customWidth="1"/>
    <col min="5" max="6" width="14.25" customWidth="1"/>
    <col min="8" max="9" width="15.33203125" customWidth="1"/>
    <col min="10" max="10" width="13.9140625" customWidth="1"/>
  </cols>
  <sheetData>
    <row r="1" spans="1:11" x14ac:dyDescent="0.35">
      <c r="A1" s="3" t="s">
        <v>1</v>
      </c>
      <c r="B1" s="3" t="s">
        <v>49</v>
      </c>
      <c r="C1" s="3" t="s">
        <v>65</v>
      </c>
      <c r="D1" s="3" t="s">
        <v>73</v>
      </c>
      <c r="E1" s="3" t="s">
        <v>80</v>
      </c>
      <c r="F1" s="3" t="s">
        <v>74</v>
      </c>
      <c r="G1" s="3" t="s">
        <v>75</v>
      </c>
      <c r="H1" s="3" t="s">
        <v>76</v>
      </c>
      <c r="I1" s="3" t="s">
        <v>81</v>
      </c>
      <c r="J1" s="3" t="s">
        <v>77</v>
      </c>
      <c r="K1" s="3" t="s">
        <v>82</v>
      </c>
    </row>
    <row r="2" spans="1:11" x14ac:dyDescent="0.35">
      <c r="A2">
        <v>1</v>
      </c>
      <c r="B2" t="s">
        <v>50</v>
      </c>
      <c r="C2" t="s">
        <v>66</v>
      </c>
      <c r="D2" s="7">
        <v>24524</v>
      </c>
      <c r="E2" s="10">
        <f>2025-1967</f>
        <v>58</v>
      </c>
      <c r="F2" s="9">
        <v>120000</v>
      </c>
      <c r="G2" s="9">
        <v>25</v>
      </c>
      <c r="H2">
        <f t="shared" ref="H2:H16" si="0">F2*$G$2</f>
        <v>3000000</v>
      </c>
      <c r="I2">
        <f>IF(C2="GĐ",500000,IF(C2="PGD",400000,IF(C2="TP",300000,IF(C2="PP",200000,100000))))</f>
        <v>300000</v>
      </c>
      <c r="J2">
        <f>80%*H2</f>
        <v>2400000</v>
      </c>
      <c r="K2">
        <f>(H2+I2)-J2</f>
        <v>900000</v>
      </c>
    </row>
    <row r="3" spans="1:11" x14ac:dyDescent="0.35">
      <c r="A3">
        <v>2</v>
      </c>
      <c r="B3" t="s">
        <v>51</v>
      </c>
      <c r="C3" t="s">
        <v>67</v>
      </c>
      <c r="D3" s="7">
        <v>27659</v>
      </c>
      <c r="E3" s="8">
        <f>2025-1975</f>
        <v>50</v>
      </c>
      <c r="F3" s="8">
        <v>160000</v>
      </c>
      <c r="G3">
        <v>24</v>
      </c>
      <c r="H3">
        <f t="shared" si="0"/>
        <v>4000000</v>
      </c>
      <c r="I3">
        <f t="shared" ref="I3:I16" si="1">IF(C3="GĐ",500000,IF(C3="PGD",400000,IF(C3="TP",300000,IF(C3="PP",200000,100000))))</f>
        <v>100000</v>
      </c>
      <c r="J3">
        <f t="shared" ref="J3:J16" si="2">80%*H3</f>
        <v>3200000</v>
      </c>
      <c r="K3">
        <f t="shared" ref="K3:K16" si="3">(H3+I3)-J3</f>
        <v>900000</v>
      </c>
    </row>
    <row r="4" spans="1:11" x14ac:dyDescent="0.35">
      <c r="A4">
        <v>3</v>
      </c>
      <c r="B4" t="s">
        <v>52</v>
      </c>
      <c r="C4" t="s">
        <v>68</v>
      </c>
      <c r="D4" s="7">
        <v>24972</v>
      </c>
      <c r="E4">
        <f>2025-1968</f>
        <v>57</v>
      </c>
      <c r="F4">
        <v>150000</v>
      </c>
      <c r="G4">
        <v>26</v>
      </c>
      <c r="H4">
        <f t="shared" si="0"/>
        <v>3750000</v>
      </c>
      <c r="I4">
        <f t="shared" si="1"/>
        <v>200000</v>
      </c>
      <c r="J4">
        <f t="shared" si="2"/>
        <v>3000000</v>
      </c>
      <c r="K4">
        <f t="shared" si="3"/>
        <v>950000</v>
      </c>
    </row>
    <row r="5" spans="1:11" x14ac:dyDescent="0.35">
      <c r="A5">
        <v>4</v>
      </c>
      <c r="B5" t="s">
        <v>53</v>
      </c>
      <c r="C5" t="s">
        <v>67</v>
      </c>
      <c r="D5" s="7">
        <v>21231</v>
      </c>
      <c r="E5">
        <f>2025-1958</f>
        <v>67</v>
      </c>
      <c r="F5">
        <v>130000</v>
      </c>
      <c r="G5">
        <v>20</v>
      </c>
      <c r="H5">
        <f t="shared" si="0"/>
        <v>3250000</v>
      </c>
      <c r="I5">
        <f t="shared" si="1"/>
        <v>100000</v>
      </c>
      <c r="J5">
        <f t="shared" si="2"/>
        <v>2600000</v>
      </c>
      <c r="K5">
        <f t="shared" si="3"/>
        <v>750000</v>
      </c>
    </row>
    <row r="6" spans="1:11" x14ac:dyDescent="0.35">
      <c r="A6">
        <v>5</v>
      </c>
      <c r="B6" t="s">
        <v>54</v>
      </c>
      <c r="C6" t="s">
        <v>69</v>
      </c>
      <c r="D6" s="7">
        <v>28728</v>
      </c>
      <c r="E6">
        <f>2025-1978</f>
        <v>47</v>
      </c>
      <c r="F6">
        <v>180000</v>
      </c>
      <c r="G6">
        <v>23</v>
      </c>
      <c r="H6">
        <f t="shared" si="0"/>
        <v>4500000</v>
      </c>
      <c r="I6">
        <f t="shared" si="1"/>
        <v>100000</v>
      </c>
      <c r="J6">
        <f t="shared" si="2"/>
        <v>3600000</v>
      </c>
      <c r="K6">
        <f t="shared" si="3"/>
        <v>1000000</v>
      </c>
    </row>
    <row r="7" spans="1:11" x14ac:dyDescent="0.35">
      <c r="A7">
        <v>6</v>
      </c>
      <c r="B7" t="s">
        <v>55</v>
      </c>
      <c r="C7" t="s">
        <v>70</v>
      </c>
      <c r="D7" s="7">
        <v>25432</v>
      </c>
      <c r="E7">
        <f>2025-1969</f>
        <v>56</v>
      </c>
      <c r="F7">
        <v>150000</v>
      </c>
      <c r="G7">
        <v>24</v>
      </c>
      <c r="H7">
        <f t="shared" si="0"/>
        <v>3750000</v>
      </c>
      <c r="I7">
        <f t="shared" si="1"/>
        <v>100000</v>
      </c>
      <c r="J7">
        <f t="shared" si="2"/>
        <v>3000000</v>
      </c>
      <c r="K7">
        <f t="shared" si="3"/>
        <v>850000</v>
      </c>
    </row>
    <row r="8" spans="1:11" x14ac:dyDescent="0.35">
      <c r="A8">
        <v>7</v>
      </c>
      <c r="B8" t="s">
        <v>56</v>
      </c>
      <c r="C8" t="s">
        <v>68</v>
      </c>
      <c r="D8" s="7">
        <v>25430</v>
      </c>
      <c r="E8">
        <f>2025-1969</f>
        <v>56</v>
      </c>
      <c r="F8">
        <v>140000</v>
      </c>
      <c r="G8">
        <v>27</v>
      </c>
      <c r="H8">
        <f t="shared" si="0"/>
        <v>3500000</v>
      </c>
      <c r="I8">
        <f t="shared" si="1"/>
        <v>200000</v>
      </c>
      <c r="J8">
        <f t="shared" si="2"/>
        <v>2800000</v>
      </c>
      <c r="K8">
        <f t="shared" si="3"/>
        <v>900000</v>
      </c>
    </row>
    <row r="9" spans="1:11" x14ac:dyDescent="0.35">
      <c r="A9">
        <v>8</v>
      </c>
      <c r="B9" t="s">
        <v>57</v>
      </c>
      <c r="C9" t="s">
        <v>71</v>
      </c>
      <c r="D9" s="7">
        <v>20796</v>
      </c>
      <c r="E9">
        <f>2025-1956</f>
        <v>69</v>
      </c>
      <c r="F9">
        <v>160000</v>
      </c>
      <c r="G9">
        <v>14</v>
      </c>
      <c r="H9">
        <f t="shared" si="0"/>
        <v>4000000</v>
      </c>
      <c r="I9">
        <f t="shared" si="1"/>
        <v>500000</v>
      </c>
      <c r="J9">
        <f t="shared" si="2"/>
        <v>3200000</v>
      </c>
      <c r="K9">
        <f t="shared" si="3"/>
        <v>1300000</v>
      </c>
    </row>
    <row r="10" spans="1:11" x14ac:dyDescent="0.35">
      <c r="A10">
        <v>9</v>
      </c>
      <c r="B10" t="s">
        <v>58</v>
      </c>
      <c r="C10" t="s">
        <v>70</v>
      </c>
      <c r="D10" s="7">
        <v>22194</v>
      </c>
      <c r="E10">
        <f>2025-1960</f>
        <v>65</v>
      </c>
      <c r="F10">
        <v>150000</v>
      </c>
      <c r="G10">
        <v>17</v>
      </c>
      <c r="H10">
        <f t="shared" si="0"/>
        <v>3750000</v>
      </c>
      <c r="I10">
        <f t="shared" si="1"/>
        <v>100000</v>
      </c>
      <c r="J10">
        <f t="shared" si="2"/>
        <v>3000000</v>
      </c>
      <c r="K10">
        <f t="shared" si="3"/>
        <v>850000</v>
      </c>
    </row>
    <row r="11" spans="1:11" x14ac:dyDescent="0.35">
      <c r="A11">
        <v>10</v>
      </c>
      <c r="B11" t="s">
        <v>59</v>
      </c>
      <c r="C11" t="s">
        <v>67</v>
      </c>
      <c r="D11" s="7">
        <v>19859</v>
      </c>
      <c r="E11">
        <f>2025-1954</f>
        <v>71</v>
      </c>
      <c r="F11">
        <v>130000</v>
      </c>
      <c r="G11">
        <v>23</v>
      </c>
      <c r="H11">
        <f t="shared" si="0"/>
        <v>3250000</v>
      </c>
      <c r="I11">
        <f t="shared" si="1"/>
        <v>100000</v>
      </c>
      <c r="J11">
        <f t="shared" si="2"/>
        <v>2600000</v>
      </c>
      <c r="K11">
        <f t="shared" si="3"/>
        <v>750000</v>
      </c>
    </row>
    <row r="12" spans="1:11" x14ac:dyDescent="0.35">
      <c r="A12">
        <v>11</v>
      </c>
      <c r="B12" t="s">
        <v>60</v>
      </c>
      <c r="C12" t="s">
        <v>66</v>
      </c>
      <c r="D12" s="7">
        <v>24731</v>
      </c>
      <c r="E12">
        <f>2025-1967</f>
        <v>58</v>
      </c>
      <c r="F12">
        <v>180000</v>
      </c>
      <c r="G12">
        <v>22</v>
      </c>
      <c r="H12">
        <f t="shared" si="0"/>
        <v>4500000</v>
      </c>
      <c r="I12">
        <f t="shared" si="1"/>
        <v>300000</v>
      </c>
      <c r="J12">
        <f t="shared" si="2"/>
        <v>3600000</v>
      </c>
      <c r="K12">
        <f t="shared" si="3"/>
        <v>1200000</v>
      </c>
    </row>
    <row r="13" spans="1:11" x14ac:dyDescent="0.35">
      <c r="A13">
        <v>12</v>
      </c>
      <c r="B13" t="s">
        <v>61</v>
      </c>
      <c r="C13" t="s">
        <v>67</v>
      </c>
      <c r="D13" s="7">
        <v>25465</v>
      </c>
      <c r="E13">
        <f>2025-1969</f>
        <v>56</v>
      </c>
      <c r="F13">
        <v>150000</v>
      </c>
      <c r="G13">
        <v>14</v>
      </c>
      <c r="H13">
        <f t="shared" si="0"/>
        <v>3750000</v>
      </c>
      <c r="I13">
        <f t="shared" si="1"/>
        <v>100000</v>
      </c>
      <c r="J13">
        <f t="shared" si="2"/>
        <v>3000000</v>
      </c>
      <c r="K13">
        <f t="shared" si="3"/>
        <v>850000</v>
      </c>
    </row>
    <row r="14" spans="1:11" x14ac:dyDescent="0.35">
      <c r="A14">
        <v>13</v>
      </c>
      <c r="B14" t="s">
        <v>62</v>
      </c>
      <c r="C14" t="s">
        <v>72</v>
      </c>
      <c r="D14" s="7">
        <v>21438</v>
      </c>
      <c r="E14">
        <f>2025-1958</f>
        <v>67</v>
      </c>
      <c r="F14">
        <v>180000</v>
      </c>
      <c r="G14">
        <v>23</v>
      </c>
      <c r="H14">
        <f t="shared" si="0"/>
        <v>4500000</v>
      </c>
      <c r="I14">
        <f t="shared" si="1"/>
        <v>100000</v>
      </c>
      <c r="J14">
        <f t="shared" si="2"/>
        <v>3600000</v>
      </c>
      <c r="K14">
        <f t="shared" si="3"/>
        <v>1000000</v>
      </c>
    </row>
    <row r="15" spans="1:11" x14ac:dyDescent="0.35">
      <c r="A15">
        <v>14</v>
      </c>
      <c r="B15" t="s">
        <v>63</v>
      </c>
      <c r="C15" t="s">
        <v>66</v>
      </c>
      <c r="D15" s="7">
        <v>19983</v>
      </c>
      <c r="E15">
        <f>2025-1954</f>
        <v>71</v>
      </c>
      <c r="F15">
        <v>160000</v>
      </c>
      <c r="G15">
        <v>27</v>
      </c>
      <c r="H15">
        <f t="shared" si="0"/>
        <v>4000000</v>
      </c>
      <c r="I15">
        <f t="shared" si="1"/>
        <v>300000</v>
      </c>
      <c r="J15">
        <f t="shared" si="2"/>
        <v>3200000</v>
      </c>
      <c r="K15">
        <f t="shared" si="3"/>
        <v>1100000</v>
      </c>
    </row>
    <row r="16" spans="1:11" x14ac:dyDescent="0.35">
      <c r="A16">
        <v>15</v>
      </c>
      <c r="B16" t="s">
        <v>64</v>
      </c>
      <c r="C16" t="s">
        <v>70</v>
      </c>
      <c r="D16" s="7">
        <v>25074</v>
      </c>
      <c r="E16">
        <f>2025-1968</f>
        <v>57</v>
      </c>
      <c r="F16">
        <v>130000</v>
      </c>
      <c r="G16">
        <v>26</v>
      </c>
      <c r="H16">
        <f t="shared" si="0"/>
        <v>3250000</v>
      </c>
      <c r="I16">
        <f t="shared" si="1"/>
        <v>100000</v>
      </c>
      <c r="J16">
        <f t="shared" si="2"/>
        <v>2600000</v>
      </c>
      <c r="K16">
        <f t="shared" si="3"/>
        <v>750000</v>
      </c>
    </row>
    <row r="17" spans="1:11" x14ac:dyDescent="0.35">
      <c r="A17" s="13" t="s">
        <v>78</v>
      </c>
      <c r="B17" s="13"/>
      <c r="C17" s="13"/>
      <c r="D17" s="13"/>
      <c r="E17" s="13"/>
      <c r="F17" s="13"/>
      <c r="G17" s="13"/>
      <c r="H17" s="5">
        <f>SUM(H2:H16)</f>
        <v>56750000</v>
      </c>
      <c r="I17" s="5">
        <f t="shared" ref="I17:K17" si="4">SUM(I2:I16)</f>
        <v>2700000</v>
      </c>
      <c r="J17" s="5">
        <f t="shared" si="4"/>
        <v>45400000</v>
      </c>
      <c r="K17" s="5">
        <f t="shared" si="4"/>
        <v>14050000</v>
      </c>
    </row>
    <row r="18" spans="1:11" x14ac:dyDescent="0.35">
      <c r="A18" s="13" t="s">
        <v>79</v>
      </c>
      <c r="B18" s="13"/>
      <c r="C18" s="13"/>
      <c r="D18" s="13"/>
      <c r="E18" s="13"/>
      <c r="F18" s="13"/>
      <c r="G18" s="13"/>
      <c r="H18" s="11">
        <f>AVERAGE(H2:H16)</f>
        <v>3783333.3333333335</v>
      </c>
      <c r="I18" s="11">
        <f t="shared" ref="I18:K18" si="5">AVERAGE(I2:I16)</f>
        <v>180000</v>
      </c>
      <c r="J18" s="11">
        <f t="shared" si="5"/>
        <v>3026666.6666666665</v>
      </c>
      <c r="K18" s="11">
        <f t="shared" si="5"/>
        <v>936666.66666666663</v>
      </c>
    </row>
    <row r="19" spans="1:11" x14ac:dyDescent="0.35">
      <c r="A19" s="13" t="s">
        <v>27</v>
      </c>
      <c r="B19" s="13"/>
      <c r="C19" s="13"/>
      <c r="D19" s="13"/>
      <c r="E19" s="13"/>
      <c r="F19" s="13"/>
      <c r="G19" s="13"/>
      <c r="H19" s="5">
        <f>MAX(H2:H16)</f>
        <v>4500000</v>
      </c>
      <c r="I19" s="5">
        <f t="shared" ref="I19:K19" si="6">MAX(I2:I16)</f>
        <v>500000</v>
      </c>
      <c r="J19" s="5">
        <f t="shared" si="6"/>
        <v>3600000</v>
      </c>
      <c r="K19" s="5">
        <f t="shared" si="6"/>
        <v>1300000</v>
      </c>
    </row>
    <row r="20" spans="1:11" x14ac:dyDescent="0.35">
      <c r="A20" s="13" t="s">
        <v>28</v>
      </c>
      <c r="B20" s="13"/>
      <c r="C20" s="13"/>
      <c r="D20" s="13"/>
      <c r="E20" s="13"/>
      <c r="F20" s="13"/>
      <c r="G20" s="13"/>
      <c r="H20" s="5">
        <f>MIN(H2:H16)</f>
        <v>3000000</v>
      </c>
      <c r="I20" s="5">
        <f t="shared" ref="I20:K20" si="7">MIN(I2:I16)</f>
        <v>100000</v>
      </c>
      <c r="J20" s="5">
        <f t="shared" si="7"/>
        <v>2400000</v>
      </c>
      <c r="K20" s="5">
        <f t="shared" si="7"/>
        <v>750000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3795-57A7-4059-A59E-0761AA94309B}">
  <dimension ref="A1:O10"/>
  <sheetViews>
    <sheetView zoomScale="89" zoomScaleNormal="89" workbookViewId="0">
      <selection activeCell="E13" sqref="E13"/>
    </sheetView>
  </sheetViews>
  <sheetFormatPr defaultRowHeight="15.5" x14ac:dyDescent="0.35"/>
  <cols>
    <col min="2" max="2" width="10.75" customWidth="1"/>
    <col min="3" max="3" width="24.75" customWidth="1"/>
    <col min="4" max="5" width="10.83203125" customWidth="1"/>
    <col min="6" max="6" width="14.75" customWidth="1"/>
    <col min="7" max="7" width="11.75" customWidth="1"/>
    <col min="8" max="8" width="12.6640625" customWidth="1"/>
    <col min="9" max="9" width="11.58203125" customWidth="1"/>
    <col min="11" max="11" width="10.08203125" bestFit="1" customWidth="1"/>
    <col min="12" max="12" width="19.9140625" customWidth="1"/>
    <col min="13" max="13" width="10.4140625" customWidth="1"/>
  </cols>
  <sheetData>
    <row r="1" spans="1:15" x14ac:dyDescent="0.35">
      <c r="A1" s="3" t="s">
        <v>1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K1" s="14" t="s">
        <v>98</v>
      </c>
      <c r="L1" s="14"/>
      <c r="M1" s="14"/>
      <c r="N1" s="14"/>
    </row>
    <row r="2" spans="1:15" x14ac:dyDescent="0.35">
      <c r="A2">
        <v>1</v>
      </c>
      <c r="B2" t="s">
        <v>91</v>
      </c>
      <c r="C2" t="str">
        <f t="shared" ref="C2:C9" si="0">VLOOKUP(LEFT(B2,2),$K$3:$O$6,2,0)</f>
        <v>Máy lạnh Panasonic</v>
      </c>
      <c r="D2">
        <f t="shared" ref="D2:D9" si="1">VLOOKUP(LEFT(B2,2),$K$3:$O$6,3,0)</f>
        <v>300</v>
      </c>
      <c r="E2" s="12">
        <f>RIGHT(B2,2)*1</f>
        <v>12</v>
      </c>
      <c r="F2">
        <f>$D$2*E2</f>
        <v>3600</v>
      </c>
      <c r="G2">
        <f t="shared" ref="G2:G9" si="2">VLOOKUP(LEFT(B2,2),$K$3:$O$6,5,0)</f>
        <v>100</v>
      </c>
      <c r="H2">
        <f t="shared" ref="H2:H9" si="3">D2*G2</f>
        <v>30000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88</v>
      </c>
    </row>
    <row r="3" spans="1:15" x14ac:dyDescent="0.35">
      <c r="A3">
        <v>2</v>
      </c>
      <c r="B3" t="s">
        <v>92</v>
      </c>
      <c r="C3" t="str">
        <f t="shared" si="0"/>
        <v>Máy lạnh Panasonic</v>
      </c>
      <c r="D3">
        <f t="shared" si="1"/>
        <v>300</v>
      </c>
      <c r="E3">
        <f t="shared" ref="E3:E8" si="4">RIGHT(B3,2)*1</f>
        <v>15</v>
      </c>
      <c r="F3">
        <f t="shared" ref="F3:F9" si="5">$D$2*E3</f>
        <v>4500</v>
      </c>
      <c r="G3">
        <f t="shared" si="2"/>
        <v>100</v>
      </c>
      <c r="H3">
        <f t="shared" si="3"/>
        <v>30000</v>
      </c>
      <c r="K3" t="s">
        <v>99</v>
      </c>
      <c r="L3" t="s">
        <v>103</v>
      </c>
      <c r="M3" s="12">
        <v>300</v>
      </c>
      <c r="N3">
        <v>130</v>
      </c>
      <c r="O3">
        <v>100</v>
      </c>
    </row>
    <row r="4" spans="1:15" x14ac:dyDescent="0.35">
      <c r="A4">
        <v>3</v>
      </c>
      <c r="B4" t="s">
        <v>93</v>
      </c>
      <c r="C4" t="str">
        <f t="shared" si="0"/>
        <v>Máy lạnh Sanyo</v>
      </c>
      <c r="D4">
        <f t="shared" si="1"/>
        <v>210</v>
      </c>
      <c r="E4">
        <v>12</v>
      </c>
      <c r="F4">
        <f t="shared" si="5"/>
        <v>3600</v>
      </c>
      <c r="G4">
        <f t="shared" si="2"/>
        <v>85</v>
      </c>
      <c r="H4">
        <f t="shared" si="3"/>
        <v>17850</v>
      </c>
      <c r="K4" t="s">
        <v>100</v>
      </c>
      <c r="L4" t="s">
        <v>104</v>
      </c>
      <c r="M4" s="12">
        <v>250</v>
      </c>
      <c r="N4">
        <v>90</v>
      </c>
      <c r="O4">
        <v>60</v>
      </c>
    </row>
    <row r="5" spans="1:15" x14ac:dyDescent="0.35">
      <c r="A5">
        <v>4</v>
      </c>
      <c r="B5" t="s">
        <v>94</v>
      </c>
      <c r="C5" t="str">
        <f t="shared" si="0"/>
        <v>Máy lạnh Toshiba</v>
      </c>
      <c r="D5">
        <f t="shared" si="1"/>
        <v>250</v>
      </c>
      <c r="E5">
        <f t="shared" si="4"/>
        <v>23</v>
      </c>
      <c r="F5">
        <f t="shared" si="5"/>
        <v>6900</v>
      </c>
      <c r="G5">
        <f t="shared" si="2"/>
        <v>60</v>
      </c>
      <c r="H5">
        <f t="shared" si="3"/>
        <v>15000</v>
      </c>
      <c r="K5" t="s">
        <v>101</v>
      </c>
      <c r="L5" t="s">
        <v>105</v>
      </c>
      <c r="M5">
        <v>210</v>
      </c>
      <c r="N5">
        <v>126</v>
      </c>
      <c r="O5">
        <v>85</v>
      </c>
    </row>
    <row r="6" spans="1:15" x14ac:dyDescent="0.35">
      <c r="A6">
        <v>5</v>
      </c>
      <c r="B6" t="s">
        <v>97</v>
      </c>
      <c r="C6" t="str">
        <f t="shared" si="0"/>
        <v>Máy lạnh Hitachi</v>
      </c>
      <c r="D6">
        <f t="shared" si="1"/>
        <v>220</v>
      </c>
      <c r="E6">
        <f t="shared" si="4"/>
        <v>12</v>
      </c>
      <c r="F6">
        <f t="shared" si="5"/>
        <v>3600</v>
      </c>
      <c r="G6">
        <f t="shared" si="2"/>
        <v>30</v>
      </c>
      <c r="H6">
        <f t="shared" si="3"/>
        <v>6600</v>
      </c>
      <c r="K6" t="s">
        <v>102</v>
      </c>
      <c r="L6" t="s">
        <v>106</v>
      </c>
      <c r="M6">
        <v>220</v>
      </c>
      <c r="N6">
        <v>70</v>
      </c>
      <c r="O6">
        <v>30</v>
      </c>
    </row>
    <row r="7" spans="1:15" x14ac:dyDescent="0.35">
      <c r="A7">
        <v>6</v>
      </c>
      <c r="B7" t="s">
        <v>95</v>
      </c>
      <c r="C7" t="str">
        <f t="shared" si="0"/>
        <v>Máy lạnh Hitachi</v>
      </c>
      <c r="D7">
        <f t="shared" si="1"/>
        <v>220</v>
      </c>
      <c r="E7">
        <f t="shared" si="4"/>
        <v>13</v>
      </c>
      <c r="F7">
        <f t="shared" si="5"/>
        <v>3900</v>
      </c>
      <c r="G7">
        <f t="shared" si="2"/>
        <v>30</v>
      </c>
      <c r="H7">
        <f t="shared" si="3"/>
        <v>6600</v>
      </c>
    </row>
    <row r="8" spans="1:15" x14ac:dyDescent="0.35">
      <c r="A8">
        <v>7</v>
      </c>
      <c r="B8" t="s">
        <v>96</v>
      </c>
      <c r="C8" t="str">
        <f t="shared" si="0"/>
        <v>Máy lạnh Toshiba</v>
      </c>
      <c r="D8">
        <f t="shared" si="1"/>
        <v>250</v>
      </c>
      <c r="E8">
        <f t="shared" si="4"/>
        <v>12</v>
      </c>
      <c r="F8">
        <f t="shared" si="5"/>
        <v>3600</v>
      </c>
      <c r="G8">
        <f t="shared" si="2"/>
        <v>60</v>
      </c>
      <c r="H8">
        <f t="shared" si="3"/>
        <v>15000</v>
      </c>
    </row>
    <row r="9" spans="1:15" x14ac:dyDescent="0.35">
      <c r="A9">
        <v>8</v>
      </c>
      <c r="B9" t="s">
        <v>93</v>
      </c>
      <c r="C9" t="str">
        <f t="shared" si="0"/>
        <v>Máy lạnh Sanyo</v>
      </c>
      <c r="D9">
        <f t="shared" si="1"/>
        <v>210</v>
      </c>
      <c r="E9">
        <v>12</v>
      </c>
      <c r="F9">
        <f t="shared" si="5"/>
        <v>3600</v>
      </c>
      <c r="G9">
        <f t="shared" si="2"/>
        <v>85</v>
      </c>
      <c r="H9">
        <f t="shared" si="3"/>
        <v>17850</v>
      </c>
    </row>
    <row r="10" spans="1:15" x14ac:dyDescent="0.35">
      <c r="A10" s="14" t="s">
        <v>107</v>
      </c>
      <c r="B10" s="14"/>
      <c r="C10" s="14"/>
      <c r="D10" s="5">
        <f>SUM(D2:D9)</f>
        <v>1960</v>
      </c>
      <c r="E10" s="5">
        <f t="shared" ref="E10:H10" si="6">SUM(E2:E9)</f>
        <v>111</v>
      </c>
      <c r="F10" s="5">
        <f t="shared" si="6"/>
        <v>33300</v>
      </c>
      <c r="G10" s="5">
        <f t="shared" si="6"/>
        <v>550</v>
      </c>
      <c r="H10" s="5">
        <f t="shared" si="6"/>
        <v>138900</v>
      </c>
    </row>
  </sheetData>
  <mergeCells count="2">
    <mergeCell ref="A10:C10"/>
    <mergeCell ref="K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BANG1</vt:lpstr>
      <vt:lpstr>BANG2</vt:lpstr>
      <vt:lpstr>BANG3</vt:lpstr>
      <vt:lpstr>BANG4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2025-12-22T09:04:53Z</dcterms:created>
  <dcterms:modified xsi:type="dcterms:W3CDTF">2025-12-22T14:21:43Z</dcterms:modified>
</cp:coreProperties>
</file>