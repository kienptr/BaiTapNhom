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200" windowHeight="7030"/>
  </bookViews>
  <sheets>
    <sheet name="Sheet1" sheetId="1" r:id="rId1"/>
  </sheets>
  <definedNames>
    <definedName name="_xlnm._FilterDatabase" localSheetId="0" hidden="1">Sheet1!$A$1:$I$17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1" l="1"/>
  <c r="J3" i="1"/>
  <c r="H3" i="1"/>
  <c r="H4" i="1"/>
  <c r="H5" i="1"/>
  <c r="H6" i="1"/>
  <c r="H7" i="1"/>
  <c r="H8" i="1"/>
  <c r="H9" i="1"/>
  <c r="H2" i="1"/>
  <c r="G2" i="1"/>
  <c r="D3" i="1"/>
  <c r="G3" i="1" s="1"/>
  <c r="D4" i="1"/>
  <c r="G4" i="1" s="1"/>
  <c r="D5" i="1"/>
  <c r="D6" i="1"/>
  <c r="G6" i="1" s="1"/>
  <c r="I6" i="1" s="1"/>
  <c r="D7" i="1"/>
  <c r="G7" i="1" s="1"/>
  <c r="I7" i="1" s="1"/>
  <c r="D8" i="1"/>
  <c r="G8" i="1" s="1"/>
  <c r="D9" i="1"/>
  <c r="G9" i="1" s="1"/>
  <c r="C2" i="1"/>
  <c r="E3" i="1"/>
  <c r="E4" i="1"/>
  <c r="F4" i="1" s="1"/>
  <c r="E5" i="1"/>
  <c r="E6" i="1"/>
  <c r="F6" i="1" s="1"/>
  <c r="E7" i="1"/>
  <c r="F7" i="1" s="1"/>
  <c r="E8" i="1"/>
  <c r="F8" i="1" s="1"/>
  <c r="E9" i="1"/>
  <c r="F9" i="1" s="1"/>
  <c r="E2" i="1"/>
  <c r="C3" i="1"/>
  <c r="C4" i="1"/>
  <c r="C5" i="1"/>
  <c r="C6" i="1"/>
  <c r="C7" i="1"/>
  <c r="C8" i="1"/>
  <c r="C9" i="1"/>
  <c r="I3" i="1" l="1"/>
  <c r="I8" i="1"/>
  <c r="F5" i="1"/>
  <c r="I4" i="1"/>
  <c r="E10" i="1"/>
  <c r="I9" i="1"/>
  <c r="H10" i="1"/>
  <c r="F3" i="1"/>
  <c r="F2" i="1"/>
  <c r="I2" i="1"/>
  <c r="G5" i="1"/>
  <c r="I5" i="1" s="1"/>
  <c r="D10" i="1"/>
  <c r="F10" i="1" l="1"/>
  <c r="G10" i="1"/>
  <c r="I10" i="1"/>
</calcChain>
</file>

<file path=xl/sharedStrings.xml><?xml version="1.0" encoding="utf-8"?>
<sst xmlns="http://schemas.openxmlformats.org/spreadsheetml/2006/main" count="33" uniqueCount="29">
  <si>
    <t>STT</t>
  </si>
  <si>
    <t xml:space="preserve">MÃ HÀNG </t>
  </si>
  <si>
    <t>TÊN HÀNG</t>
  </si>
  <si>
    <t>GIÁ NHẬP</t>
  </si>
  <si>
    <t>SL NHẬP</t>
  </si>
  <si>
    <t>TIỀN NHẬP</t>
  </si>
  <si>
    <t>GIÁ XUẤT</t>
  </si>
  <si>
    <t>SL XUẤT</t>
  </si>
  <si>
    <t>TIỀN XUẤT</t>
  </si>
  <si>
    <t>GHI CHÚ</t>
  </si>
  <si>
    <t>Pa0A12</t>
  </si>
  <si>
    <t>Pa0C15</t>
  </si>
  <si>
    <t>Sa0B2</t>
  </si>
  <si>
    <t>To0C23</t>
  </si>
  <si>
    <t>Hi0A13</t>
  </si>
  <si>
    <t>Hi0A12</t>
  </si>
  <si>
    <t>To0B12</t>
  </si>
  <si>
    <t>Cộng</t>
  </si>
  <si>
    <t>Bảng tra dữ liệu các loại máy lạnh :</t>
  </si>
  <si>
    <t>MÃ HÀNG</t>
  </si>
  <si>
    <t xml:space="preserve"> TÊN HÀNG</t>
  </si>
  <si>
    <t>Pa</t>
  </si>
  <si>
    <t xml:space="preserve"> Máy lạnh Panasonic</t>
  </si>
  <si>
    <t>To</t>
  </si>
  <si>
    <t>Máy lạnh Toshiba</t>
  </si>
  <si>
    <t>Sa</t>
  </si>
  <si>
    <t>Máy lạnh Sanyo</t>
  </si>
  <si>
    <t>Máy lạnh Hitachi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</si>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</sst>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5" formatCode="&quot;$&quot;#,##0_);\(&quot;$&quot;#,##0\)"/>
    <numFmt numFmtId="44" formatCode="_(&quot;$&quot;* #,##0.00_);_(&quot;$&quot;* \(#,##0.00\);_(&quot;$&quot;* &quot;-&quot;??_);_(@_)"/>
  </numFmts>
  <fonts count="2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0" borderId="3" xfId="0" applyBorder="1" applyAlignment="1">
      <alignment horizontal="center"/>
    </xf>
    <xf numFmtId="0" fontId="0" fillId="2" borderId="1" xfId="0" applyFill="1" applyBorder="1" applyAlignment="1"/>
    <xf numFmtId="5" fontId="0" fillId="0" borderId="1" xfId="1" applyNumberFormat="1" applyFont="1" applyBorder="1" applyAlignment="1">
      <alignment wrapText="1"/>
    </xf>
    <xf numFmtId="5" fontId="0" fillId="0" borderId="1" xfId="1" applyNumberFormat="1" applyFont="1" applyBorder="1"/>
    <xf numFmtId="5" fontId="0" fillId="0" borderId="1" xfId="0" applyNumberFormat="1" applyBorder="1" applyAlignment="1">
      <alignment wrapText="1"/>
    </xf>
    <xf numFmtId="0" fontId="0" fillId="2" borderId="1" xfId="0" applyFill="1" applyBorder="1" applyAlignment="1">
      <alignment horizontal="center" wrapText="1"/>
    </xf>
    <xf numFmtId="5" fontId="0" fillId="2" borderId="1" xfId="0" applyNumberFormat="1" applyFill="1" applyBorder="1" applyAlignment="1"/>
    <xf numFmtId="5" fontId="0" fillId="0" borderId="1" xfId="0" applyNumberFormat="1" applyBorder="1"/>
    <xf numFmtId="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7"/>
  <sheetViews>
    <sheetView tabSelected="1" workbookViewId="0">
      <selection activeCell="J19" sqref="J19"/>
    </sheetView>
  </sheetViews>
  <sheetFormatPr defaultRowHeight="15.5" x14ac:dyDescent="0.35"/>
  <cols>
    <col min="2" max="2" width="10.5" customWidth="1"/>
    <col min="3" max="3" width="19.5" customWidth="1"/>
    <col min="4" max="4" width="18.4140625" customWidth="1"/>
    <col min="5" max="5" width="6.58203125" customWidth="1"/>
    <col min="6" max="6" width="10" customWidth="1"/>
    <col min="7" max="7" width="10.75" customWidth="1"/>
    <col min="8" max="8" width="10.1640625" customWidth="1"/>
    <col min="9" max="9" width="10.58203125" style="16" customWidth="1"/>
  </cols>
  <sheetData>
    <row r="1" spans="1:10" ht="31" x14ac:dyDescent="0.35">
      <c r="A1" s="9" t="s">
        <v>0</v>
      </c>
      <c r="B1" s="9" t="s">
        <v>1</v>
      </c>
      <c r="C1" s="9" t="s">
        <v>2</v>
      </c>
      <c r="D1" s="13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14" t="s">
        <v>8</v>
      </c>
      <c r="J1" s="9" t="s">
        <v>9</v>
      </c>
    </row>
    <row r="2" spans="1:10" ht="35.5" hidden="1" customHeight="1" x14ac:dyDescent="0.35">
      <c r="A2" s="1">
        <v>1</v>
      </c>
      <c r="B2" s="1" t="s">
        <v>10</v>
      </c>
      <c r="C2" s="1" t="str">
        <f>VLOOKUP(LEFT(B2,2),$C$14:$D$17,2,0)</f>
        <v xml:space="preserve"> Máy lạnh Panasonic</v>
      </c>
      <c r="D2" s="12"/>
      <c r="E2" s="5">
        <f>VLOOKUP(LEFT(B2,2),$C$14:$F$17,4,0)</f>
        <v>130</v>
      </c>
      <c r="F2" s="12">
        <f>D3*E3</f>
        <v>39000</v>
      </c>
      <c r="G2" s="1">
        <f>IF(MID(B2,4,1)="A",D2+15,IF(MID(B2,4,1)="B",D2+12,D2+10))</f>
        <v>15</v>
      </c>
      <c r="H2" s="5">
        <f>VLOOKUP(LEFT(B2,2),$C$14:$G$17,5,0)</f>
        <v>100</v>
      </c>
      <c r="I2" s="15">
        <f>G2*H2</f>
        <v>1500</v>
      </c>
      <c r="J2" s="1"/>
    </row>
    <row r="3" spans="1:10" x14ac:dyDescent="0.35">
      <c r="A3" s="1">
        <v>2</v>
      </c>
      <c r="B3" s="1" t="s">
        <v>11</v>
      </c>
      <c r="C3" s="1" t="str">
        <f t="shared" ref="C3:C9" si="0">VLOOKUP(LEFT(B3,2),$C$14:$D$17,2,0)</f>
        <v xml:space="preserve"> Máy lạnh Panasonic</v>
      </c>
      <c r="D3" s="12">
        <f t="shared" ref="D3:D9" si="1">VLOOKUP(LEFT(B3,2),$C$14:$E$17,3,0)</f>
        <v>300</v>
      </c>
      <c r="E3" s="5">
        <f t="shared" ref="E3:E9" si="2">VLOOKUP(LEFT(B3,2),$C$14:$F$17,4,0)</f>
        <v>130</v>
      </c>
      <c r="F3" s="12">
        <f>D3*E3</f>
        <v>39000</v>
      </c>
      <c r="G3" s="1">
        <f t="shared" ref="G3:G9" si="3">IF(MID(B3,4,1)="A",D3+15,IF(MID(B3,4,1)="B",D3+12,D3+10))</f>
        <v>310</v>
      </c>
      <c r="H3" s="5">
        <f t="shared" ref="H3:H9" si="4">VLOOKUP(LEFT(B3,2),$C$14:$G$17,5,0)</f>
        <v>100</v>
      </c>
      <c r="I3" s="15">
        <f t="shared" ref="I3:I9" si="5">G3*H3</f>
        <v>31000</v>
      </c>
      <c r="J3" s="1" t="str">
        <f>IF(E3-H3&gt;=60,"Bán chậm",IF(E3-H3&gt;=30,"Bán được","bán chạy"))</f>
        <v>Bán được</v>
      </c>
    </row>
    <row r="4" spans="1:10" ht="15.5" hidden="1" customHeight="1" x14ac:dyDescent="0.35">
      <c r="A4" s="1">
        <v>3</v>
      </c>
      <c r="B4" s="1" t="s">
        <v>12</v>
      </c>
      <c r="C4" s="1" t="str">
        <f t="shared" si="0"/>
        <v>Máy lạnh Sanyo</v>
      </c>
      <c r="D4" s="12">
        <f t="shared" si="1"/>
        <v>210</v>
      </c>
      <c r="E4" s="5">
        <f t="shared" si="2"/>
        <v>126</v>
      </c>
      <c r="F4" s="12">
        <f t="shared" ref="F3:F9" si="6">D4*E4</f>
        <v>26460</v>
      </c>
      <c r="G4" s="1">
        <f t="shared" si="3"/>
        <v>222</v>
      </c>
      <c r="H4" s="5">
        <f t="shared" si="4"/>
        <v>85</v>
      </c>
      <c r="I4" s="15">
        <f t="shared" si="5"/>
        <v>18870</v>
      </c>
      <c r="J4" s="1"/>
    </row>
    <row r="5" spans="1:10" ht="15.5" hidden="1" customHeight="1" x14ac:dyDescent="0.35">
      <c r="A5" s="1">
        <v>4</v>
      </c>
      <c r="B5" s="1" t="s">
        <v>13</v>
      </c>
      <c r="C5" s="1" t="str">
        <f t="shared" si="0"/>
        <v>Máy lạnh Toshiba</v>
      </c>
      <c r="D5" s="12">
        <f t="shared" si="1"/>
        <v>250</v>
      </c>
      <c r="E5" s="5">
        <f t="shared" si="2"/>
        <v>90</v>
      </c>
      <c r="F5" s="12">
        <f t="shared" si="6"/>
        <v>22500</v>
      </c>
      <c r="G5" s="1">
        <f t="shared" si="3"/>
        <v>260</v>
      </c>
      <c r="H5" s="5">
        <f t="shared" si="4"/>
        <v>60</v>
      </c>
      <c r="I5" s="15">
        <f t="shared" si="5"/>
        <v>15600</v>
      </c>
      <c r="J5" s="1"/>
    </row>
    <row r="6" spans="1:10" ht="15.5" hidden="1" customHeight="1" x14ac:dyDescent="0.35">
      <c r="A6" s="1">
        <v>5</v>
      </c>
      <c r="B6" s="1" t="s">
        <v>15</v>
      </c>
      <c r="C6" s="1" t="str">
        <f t="shared" si="0"/>
        <v>Máy lạnh Hitachi</v>
      </c>
      <c r="D6" s="12">
        <f t="shared" si="1"/>
        <v>220</v>
      </c>
      <c r="E6" s="5">
        <f t="shared" si="2"/>
        <v>70</v>
      </c>
      <c r="F6" s="12">
        <f t="shared" si="6"/>
        <v>15400</v>
      </c>
      <c r="G6" s="1">
        <f t="shared" si="3"/>
        <v>235</v>
      </c>
      <c r="H6" s="5">
        <f t="shared" si="4"/>
        <v>30</v>
      </c>
      <c r="I6" s="15">
        <f t="shared" si="5"/>
        <v>7050</v>
      </c>
      <c r="J6" s="1"/>
    </row>
    <row r="7" spans="1:10" ht="15.5" hidden="1" customHeight="1" x14ac:dyDescent="0.35">
      <c r="A7" s="1">
        <v>6</v>
      </c>
      <c r="B7" s="1" t="s">
        <v>14</v>
      </c>
      <c r="C7" s="1" t="str">
        <f t="shared" si="0"/>
        <v>Máy lạnh Hitachi</v>
      </c>
      <c r="D7" s="12">
        <f t="shared" si="1"/>
        <v>220</v>
      </c>
      <c r="E7" s="5">
        <f t="shared" si="2"/>
        <v>70</v>
      </c>
      <c r="F7" s="12">
        <f t="shared" si="6"/>
        <v>15400</v>
      </c>
      <c r="G7" s="1">
        <f t="shared" si="3"/>
        <v>235</v>
      </c>
      <c r="H7" s="5">
        <f t="shared" si="4"/>
        <v>30</v>
      </c>
      <c r="I7" s="15">
        <f t="shared" si="5"/>
        <v>7050</v>
      </c>
      <c r="J7" s="1"/>
    </row>
    <row r="8" spans="1:10" ht="15.5" hidden="1" customHeight="1" x14ac:dyDescent="0.35">
      <c r="A8" s="1">
        <v>7</v>
      </c>
      <c r="B8" s="1" t="s">
        <v>16</v>
      </c>
      <c r="C8" s="1" t="str">
        <f t="shared" si="0"/>
        <v>Máy lạnh Toshiba</v>
      </c>
      <c r="D8" s="12">
        <f t="shared" si="1"/>
        <v>250</v>
      </c>
      <c r="E8" s="5">
        <f t="shared" si="2"/>
        <v>90</v>
      </c>
      <c r="F8" s="12">
        <f t="shared" si="6"/>
        <v>22500</v>
      </c>
      <c r="G8" s="1">
        <f t="shared" si="3"/>
        <v>262</v>
      </c>
      <c r="H8" s="5">
        <f t="shared" si="4"/>
        <v>60</v>
      </c>
      <c r="I8" s="15">
        <f t="shared" si="5"/>
        <v>15720</v>
      </c>
      <c r="J8" s="1"/>
    </row>
    <row r="9" spans="1:10" ht="15.5" hidden="1" customHeight="1" x14ac:dyDescent="0.35">
      <c r="A9" s="1">
        <v>8</v>
      </c>
      <c r="B9" s="1" t="s">
        <v>12</v>
      </c>
      <c r="C9" s="1" t="str">
        <f t="shared" si="0"/>
        <v>Máy lạnh Sanyo</v>
      </c>
      <c r="D9" s="12">
        <f t="shared" si="1"/>
        <v>210</v>
      </c>
      <c r="E9" s="5">
        <f t="shared" si="2"/>
        <v>126</v>
      </c>
      <c r="F9" s="12">
        <f t="shared" si="6"/>
        <v>26460</v>
      </c>
      <c r="G9" s="1">
        <f t="shared" si="3"/>
        <v>222</v>
      </c>
      <c r="H9" s="5">
        <f t="shared" si="4"/>
        <v>85</v>
      </c>
      <c r="I9" s="15">
        <f t="shared" si="5"/>
        <v>18870</v>
      </c>
      <c r="J9" s="1"/>
    </row>
    <row r="10" spans="1:10" x14ac:dyDescent="0.35">
      <c r="A10" s="4" t="s">
        <v>17</v>
      </c>
      <c r="B10" s="4"/>
      <c r="C10" s="8"/>
      <c r="D10" s="15">
        <f>SUM(D2:D9)</f>
        <v>1660</v>
      </c>
      <c r="E10" s="1">
        <f>SUM(E2:E9)</f>
        <v>832</v>
      </c>
      <c r="F10" s="15">
        <f>SUM(F2:F9)</f>
        <v>206720</v>
      </c>
      <c r="G10" s="1">
        <f>SUM(G2:G9)</f>
        <v>1761</v>
      </c>
      <c r="H10" s="1">
        <f>SUM(H2:H9)</f>
        <v>550</v>
      </c>
      <c r="I10" s="15">
        <f>SUM(I2:I9)</f>
        <v>115660</v>
      </c>
      <c r="J10" s="1" t="str">
        <f>IF(E10-H10&gt;=60,"Bán chậm",IF(E10-H10&gt;=30,"Bán được","bán chạy"))</f>
        <v>Bán chậm</v>
      </c>
    </row>
    <row r="11" spans="1:10" ht="15.5" hidden="1" customHeight="1" x14ac:dyDescent="0.35">
      <c r="B11" s="4" t="s">
        <v>18</v>
      </c>
      <c r="C11" s="4"/>
      <c r="D11" s="4"/>
      <c r="E11" s="4"/>
      <c r="F11" s="4"/>
    </row>
    <row r="12" spans="1:10" ht="15.5" hidden="1" customHeight="1" x14ac:dyDescent="0.35">
      <c r="B12" s="3"/>
      <c r="C12" s="3"/>
      <c r="D12" s="3"/>
      <c r="E12" s="3"/>
      <c r="F12" s="3"/>
    </row>
    <row r="13" spans="1:10" ht="31" hidden="1" customHeight="1" x14ac:dyDescent="0.35">
      <c r="B13" s="2"/>
      <c r="C13" s="7" t="s">
        <v>19</v>
      </c>
      <c r="D13" s="7" t="s">
        <v>20</v>
      </c>
      <c r="E13" s="7" t="s">
        <v>3</v>
      </c>
      <c r="F13" s="7" t="s">
        <v>4</v>
      </c>
      <c r="G13" s="7" t="s">
        <v>7</v>
      </c>
    </row>
    <row r="14" spans="1:10" ht="15.5" hidden="1" customHeight="1" x14ac:dyDescent="0.35">
      <c r="B14" s="2"/>
      <c r="C14" s="5" t="s">
        <v>21</v>
      </c>
      <c r="D14" s="6" t="s">
        <v>22</v>
      </c>
      <c r="E14" s="10">
        <v>300</v>
      </c>
      <c r="F14" s="5">
        <v>130</v>
      </c>
      <c r="G14" s="5">
        <v>100</v>
      </c>
    </row>
    <row r="15" spans="1:10" ht="15.5" hidden="1" customHeight="1" x14ac:dyDescent="0.35">
      <c r="B15" s="2"/>
      <c r="C15" s="5" t="s">
        <v>23</v>
      </c>
      <c r="D15" s="5" t="s">
        <v>24</v>
      </c>
      <c r="E15" s="10">
        <v>250</v>
      </c>
      <c r="F15" s="5">
        <v>90</v>
      </c>
      <c r="G15" s="5">
        <v>60</v>
      </c>
    </row>
    <row r="16" spans="1:10" ht="15.5" hidden="1" customHeight="1" x14ac:dyDescent="0.35">
      <c r="C16" s="1" t="s">
        <v>25</v>
      </c>
      <c r="D16" s="1" t="s">
        <v>26</v>
      </c>
      <c r="E16" s="11">
        <v>210</v>
      </c>
      <c r="F16" s="1">
        <v>126</v>
      </c>
      <c r="G16" s="1">
        <v>85</v>
      </c>
    </row>
    <row r="17" spans="3:7" ht="15.5" hidden="1" customHeight="1" x14ac:dyDescent="0.35">
      <c r="C17" s="1" t="s">
        <v>28</v>
      </c>
      <c r="D17" s="1" t="s">
        <v>27</v>
      </c>
      <c r="E17" s="11">
        <v>220</v>
      </c>
      <c r="F17" s="1">
        <v>70</v>
      </c>
      <c r="G17" s="1">
        <v>30</v>
      </c>
    </row>
  </sheetData>
  <autoFilter ref="A1:I17">
    <filterColumn colId="8">
      <customFilters>
        <customFilter operator="greaterThanOrEqual" val="20000"/>
      </customFilters>
    </filterColumn>
  </autoFilter>
  <mergeCells count="2">
    <mergeCell ref="B11:F12"/>
    <mergeCell ref="A10:C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2025-12-21T12:56:48Z</dcterms:created>
  <dcterms:modified xsi:type="dcterms:W3CDTF">2025-12-21T16:44:23Z</dcterms:modified>
</cp:coreProperties>
</file>