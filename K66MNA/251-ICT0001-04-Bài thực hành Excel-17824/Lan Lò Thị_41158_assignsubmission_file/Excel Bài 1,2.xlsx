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 activeTab="1"/>
  </bookViews>
  <sheets>
    <sheet name="Bài 1" sheetId="1" r:id="rId1"/>
    <sheet name="Bài 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<sst xmlns="http://schemas.openxmlformats.org/spreadsheetml/2006/main" count="66" uniqueCount="47">
  <si>
    <t>KẾT QUẢ THI CUỐI KHÓA</t>
  </si>
  <si>
    <t>STT</t>
  </si>
  <si>
    <t>TÊN HS</t>
  </si>
  <si>
    <t>PHÁI</t>
  </si>
  <si>
    <t>NS</t>
  </si>
  <si>
    <t>TOÁN</t>
  </si>
  <si>
    <t>VĂN</t>
  </si>
  <si>
    <t>NGOẠI NGỮ</t>
  </si>
  <si>
    <t>ĐTB</t>
  </si>
  <si>
    <t>KQ</t>
  </si>
  <si>
    <t>XẾP HẠNG</t>
  </si>
  <si>
    <t>KHEN THƯỞNG</t>
  </si>
  <si>
    <t>LÂM</t>
  </si>
  <si>
    <t>NAM</t>
  </si>
  <si>
    <t>HẢI</t>
  </si>
  <si>
    <t>HIỆP</t>
  </si>
  <si>
    <t xml:space="preserve">THẢO </t>
  </si>
  <si>
    <t>NỮ</t>
  </si>
  <si>
    <t>MINH</t>
  </si>
  <si>
    <t>HỒNG</t>
  </si>
  <si>
    <t>LINH</t>
  </si>
  <si>
    <t>DIỄM</t>
  </si>
  <si>
    <t>NGA</t>
  </si>
  <si>
    <t>KHOA</t>
  </si>
  <si>
    <t>SƠN</t>
  </si>
  <si>
    <t>TRUNG BÌNH</t>
  </si>
  <si>
    <t>CAO NHẤT</t>
  </si>
  <si>
    <t>THẤP NHẤT</t>
  </si>
  <si>
    <t>DANH SÁCH THƯỞNG THÁNG 3</t>
  </si>
  <si>
    <t>HỌ</t>
  </si>
  <si>
    <t>TÊN</t>
  </si>
  <si>
    <t>NGÀY CÔNG</t>
  </si>
  <si>
    <t>THƯỞNG 8-3</t>
  </si>
  <si>
    <t>THƯỞNG A</t>
  </si>
  <si>
    <t>THƯỞNG B</t>
  </si>
  <si>
    <t>Trần Thanh</t>
  </si>
  <si>
    <t>Tuấn</t>
  </si>
  <si>
    <t>Phạm Hùng</t>
  </si>
  <si>
    <t>Cường</t>
  </si>
  <si>
    <t>Lê Ngọc</t>
  </si>
  <si>
    <t>Xuân</t>
  </si>
  <si>
    <t>Phạm Thanh</t>
  </si>
  <si>
    <t>Long</t>
  </si>
  <si>
    <t>Phạm Hoài</t>
  </si>
  <si>
    <t>Nam</t>
  </si>
  <si>
    <t>Lê Thanh</t>
  </si>
  <si>
    <t>Lan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</si>
</sst>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25">
    <font>
      <sz val="11"/>
      <color theme="1"/>
      <name val="Calibri"/>
      <charset val="134"/>
      <scheme val="minor"/>
    </font>
    <font>
      <b/>
      <sz val="14"/>
      <color rgb="FF000000"/>
      <name val="Times New Roman"/>
      <charset val="134"/>
    </font>
    <font>
      <sz val="11"/>
      <color rgb="FF000000"/>
      <name val="Times New Roman"/>
      <charset val="134"/>
    </font>
    <font>
      <b/>
      <sz val="11"/>
      <color rgb="FF000000"/>
      <name val="Times New Roman"/>
      <charset val="134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/>
    <xf numFmtId="0" fontId="0" fillId="0" borderId="0" xfId="0" applyAlignment="1">
      <alignment wrapText="1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178" fontId="2" fillId="0" borderId="4" xfId="0" applyNumberFormat="1" applyFont="1" applyBorder="1"/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2" fillId="0" borderId="4" xfId="0" applyFont="1" applyBorder="1" applyAlignment="1">
      <alignment wrapText="1"/>
    </xf>
    <xf numFmtId="0" fontId="4" fillId="0" borderId="4" xfId="0" applyFont="1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workbookViewId="0">
      <selection activeCell="F8" sqref="F8"/>
    </sheetView>
  </sheetViews>
  <sheetFormatPr defaultColWidth="9" defaultRowHeight="14.5"/>
  <cols>
    <col min="11" max="11" width="13.3636363636364" style="7" customWidth="1"/>
  </cols>
  <sheetData>
    <row r="1" ht="17.5" spans="1:11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16"/>
    </row>
    <row r="2" ht="28" spans="1:11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1" t="s">
        <v>7</v>
      </c>
      <c r="H2" s="10" t="s">
        <v>8</v>
      </c>
      <c r="I2" s="10" t="s">
        <v>9</v>
      </c>
      <c r="J2" s="11" t="s">
        <v>10</v>
      </c>
      <c r="K2" s="11" t="s">
        <v>11</v>
      </c>
    </row>
    <row r="3" spans="1:11">
      <c r="A3" s="5">
        <v>1</v>
      </c>
      <c r="B3" s="5" t="s">
        <v>12</v>
      </c>
      <c r="C3" s="5" t="s">
        <v>13</v>
      </c>
      <c r="D3" s="5">
        <v>1988</v>
      </c>
      <c r="E3" s="12">
        <v>10</v>
      </c>
      <c r="F3" s="12">
        <v>8</v>
      </c>
      <c r="G3" s="12">
        <v>9</v>
      </c>
      <c r="H3" s="6">
        <f>ROUND((E3*2+F3*2+G3)/5,2)</f>
        <v>9</v>
      </c>
      <c r="I3" s="6" t="str">
        <f>IF(H3&gt;=5,"Đạt","Rớt")</f>
        <v>Đạt</v>
      </c>
      <c r="J3" s="6">
        <f>RANK(H3,$H$3:$H$14)</f>
        <v>1</v>
      </c>
      <c r="K3" s="17">
        <f>IF(J3=1,200000,IF(J3=2,100000,0))</f>
        <v>200000</v>
      </c>
    </row>
    <row r="4" spans="1:11">
      <c r="A4" s="5">
        <v>2</v>
      </c>
      <c r="B4" s="5" t="s">
        <v>14</v>
      </c>
      <c r="C4" s="5" t="s">
        <v>13</v>
      </c>
      <c r="D4" s="5">
        <v>1987</v>
      </c>
      <c r="E4" s="12">
        <v>8</v>
      </c>
      <c r="F4" s="6">
        <v>8.5</v>
      </c>
      <c r="G4" s="12">
        <v>9</v>
      </c>
      <c r="H4" s="6">
        <f t="shared" ref="H4:H14" si="0">ROUND((E4*2+F4*2+G4)/5,2)</f>
        <v>8.4</v>
      </c>
      <c r="I4" s="6" t="str">
        <f t="shared" ref="I4:I14" si="1">IF(H4&gt;=5,"Đạt","Rớt")</f>
        <v>Đạt</v>
      </c>
      <c r="J4" s="6">
        <f t="shared" ref="J4:J14" si="2">RANK(H4,$H$3:$H$14)</f>
        <v>2</v>
      </c>
      <c r="K4" s="17">
        <f t="shared" ref="K4:K14" si="3">IF(J4=1,200000,IF(J4=2,100000,0))</f>
        <v>100000</v>
      </c>
    </row>
    <row r="5" spans="1:11">
      <c r="A5" s="5">
        <v>3</v>
      </c>
      <c r="B5" s="5" t="s">
        <v>15</v>
      </c>
      <c r="C5" s="5" t="s">
        <v>13</v>
      </c>
      <c r="D5" s="5">
        <v>1986</v>
      </c>
      <c r="E5" s="12">
        <v>9</v>
      </c>
      <c r="F5" s="12">
        <v>8</v>
      </c>
      <c r="G5" s="12">
        <v>7</v>
      </c>
      <c r="H5" s="6">
        <f t="shared" si="0"/>
        <v>8.2</v>
      </c>
      <c r="I5" s="6" t="str">
        <f t="shared" si="1"/>
        <v>Đạt</v>
      </c>
      <c r="J5" s="6">
        <f t="shared" si="2"/>
        <v>3</v>
      </c>
      <c r="K5" s="17">
        <f t="shared" si="3"/>
        <v>0</v>
      </c>
    </row>
    <row r="6" spans="1:11">
      <c r="A6" s="5">
        <v>4</v>
      </c>
      <c r="B6" s="5" t="s">
        <v>16</v>
      </c>
      <c r="C6" s="5" t="s">
        <v>17</v>
      </c>
      <c r="D6" s="5">
        <v>1988</v>
      </c>
      <c r="E6" s="12">
        <v>10</v>
      </c>
      <c r="F6" s="12">
        <v>4</v>
      </c>
      <c r="G6" s="12">
        <v>7</v>
      </c>
      <c r="H6" s="6">
        <f t="shared" si="0"/>
        <v>7</v>
      </c>
      <c r="I6" s="6" t="str">
        <f t="shared" si="1"/>
        <v>Đạt</v>
      </c>
      <c r="J6" s="6">
        <f t="shared" si="2"/>
        <v>4</v>
      </c>
      <c r="K6" s="17">
        <f t="shared" si="3"/>
        <v>0</v>
      </c>
    </row>
    <row r="7" spans="1:11">
      <c r="A7" s="5">
        <v>5</v>
      </c>
      <c r="B7" s="5" t="s">
        <v>18</v>
      </c>
      <c r="C7" s="5" t="s">
        <v>13</v>
      </c>
      <c r="D7" s="5">
        <v>1988</v>
      </c>
      <c r="E7" s="12">
        <v>9</v>
      </c>
      <c r="F7" s="12">
        <v>5</v>
      </c>
      <c r="G7" s="12">
        <v>6</v>
      </c>
      <c r="H7" s="6">
        <f t="shared" si="0"/>
        <v>6.8</v>
      </c>
      <c r="I7" s="6" t="str">
        <f t="shared" si="1"/>
        <v>Đạt</v>
      </c>
      <c r="J7" s="6">
        <f t="shared" si="2"/>
        <v>5</v>
      </c>
      <c r="K7" s="17">
        <f t="shared" si="3"/>
        <v>0</v>
      </c>
    </row>
    <row r="8" spans="1:11">
      <c r="A8" s="5">
        <v>6</v>
      </c>
      <c r="B8" s="5" t="s">
        <v>19</v>
      </c>
      <c r="C8" s="5" t="s">
        <v>17</v>
      </c>
      <c r="D8" s="5">
        <v>1987</v>
      </c>
      <c r="E8" s="12">
        <v>6</v>
      </c>
      <c r="F8" s="12">
        <v>6</v>
      </c>
      <c r="G8" s="12">
        <v>8</v>
      </c>
      <c r="H8" s="6">
        <f t="shared" si="0"/>
        <v>6.4</v>
      </c>
      <c r="I8" s="6" t="str">
        <f t="shared" si="1"/>
        <v>Đạt</v>
      </c>
      <c r="J8" s="6">
        <f t="shared" si="2"/>
        <v>6</v>
      </c>
      <c r="K8" s="17">
        <f t="shared" si="3"/>
        <v>0</v>
      </c>
    </row>
    <row r="9" spans="1:11">
      <c r="A9" s="5">
        <v>7</v>
      </c>
      <c r="B9" s="5" t="s">
        <v>20</v>
      </c>
      <c r="C9" s="5" t="s">
        <v>13</v>
      </c>
      <c r="D9" s="5">
        <v>1986</v>
      </c>
      <c r="E9" s="12">
        <v>7.5</v>
      </c>
      <c r="F9" s="12">
        <v>5</v>
      </c>
      <c r="G9" s="12">
        <v>6</v>
      </c>
      <c r="H9" s="6">
        <f t="shared" si="0"/>
        <v>6.2</v>
      </c>
      <c r="I9" s="6" t="str">
        <f t="shared" si="1"/>
        <v>Đạt</v>
      </c>
      <c r="J9" s="6">
        <f t="shared" si="2"/>
        <v>7</v>
      </c>
      <c r="K9" s="17">
        <f t="shared" si="3"/>
        <v>0</v>
      </c>
    </row>
    <row r="10" spans="1:11">
      <c r="A10" s="5">
        <v>8</v>
      </c>
      <c r="B10" s="5" t="s">
        <v>13</v>
      </c>
      <c r="C10" s="5" t="s">
        <v>13</v>
      </c>
      <c r="D10" s="5">
        <v>1988</v>
      </c>
      <c r="E10" s="12">
        <v>3</v>
      </c>
      <c r="F10" s="12">
        <v>9</v>
      </c>
      <c r="G10" s="12">
        <v>7</v>
      </c>
      <c r="H10" s="6">
        <f t="shared" si="0"/>
        <v>6.2</v>
      </c>
      <c r="I10" s="6" t="str">
        <f t="shared" si="1"/>
        <v>Đạt</v>
      </c>
      <c r="J10" s="6">
        <f t="shared" si="2"/>
        <v>7</v>
      </c>
      <c r="K10" s="17">
        <f t="shared" si="3"/>
        <v>0</v>
      </c>
    </row>
    <row r="11" spans="1:11">
      <c r="A11" s="5">
        <v>9</v>
      </c>
      <c r="B11" s="5" t="s">
        <v>21</v>
      </c>
      <c r="C11" s="5" t="s">
        <v>17</v>
      </c>
      <c r="D11" s="5">
        <v>1988</v>
      </c>
      <c r="E11" s="12">
        <v>4</v>
      </c>
      <c r="F11" s="12">
        <v>5</v>
      </c>
      <c r="G11" s="12">
        <v>5.5</v>
      </c>
      <c r="H11" s="6">
        <f t="shared" si="0"/>
        <v>4.7</v>
      </c>
      <c r="I11" s="6" t="str">
        <f t="shared" si="1"/>
        <v>Rớt</v>
      </c>
      <c r="J11" s="6">
        <f t="shared" si="2"/>
        <v>10</v>
      </c>
      <c r="K11" s="17">
        <f t="shared" si="3"/>
        <v>0</v>
      </c>
    </row>
    <row r="12" spans="1:11">
      <c r="A12" s="5">
        <v>10</v>
      </c>
      <c r="B12" s="5" t="s">
        <v>22</v>
      </c>
      <c r="C12" s="5" t="s">
        <v>17</v>
      </c>
      <c r="D12" s="5">
        <v>1988</v>
      </c>
      <c r="E12" s="12">
        <v>4.5</v>
      </c>
      <c r="F12" s="12">
        <v>6</v>
      </c>
      <c r="G12" s="12">
        <v>4</v>
      </c>
      <c r="H12" s="6">
        <f t="shared" si="0"/>
        <v>5</v>
      </c>
      <c r="I12" s="6" t="str">
        <f t="shared" si="1"/>
        <v>Đạt</v>
      </c>
      <c r="J12" s="6">
        <f t="shared" si="2"/>
        <v>9</v>
      </c>
      <c r="K12" s="17">
        <f t="shared" si="3"/>
        <v>0</v>
      </c>
    </row>
    <row r="13" spans="1:11">
      <c r="A13" s="5">
        <v>11</v>
      </c>
      <c r="B13" s="5" t="s">
        <v>23</v>
      </c>
      <c r="C13" s="5" t="s">
        <v>13</v>
      </c>
      <c r="D13" s="5">
        <v>1987</v>
      </c>
      <c r="E13" s="12">
        <v>3</v>
      </c>
      <c r="F13" s="12">
        <v>5</v>
      </c>
      <c r="G13" s="12">
        <v>5</v>
      </c>
      <c r="H13" s="6">
        <f t="shared" si="0"/>
        <v>4.2</v>
      </c>
      <c r="I13" s="6" t="str">
        <f t="shared" si="1"/>
        <v>Rớt</v>
      </c>
      <c r="J13" s="6">
        <f t="shared" si="2"/>
        <v>11</v>
      </c>
      <c r="K13" s="17">
        <f t="shared" si="3"/>
        <v>0</v>
      </c>
    </row>
    <row r="14" spans="1:11">
      <c r="A14" s="5">
        <v>12</v>
      </c>
      <c r="B14" s="5" t="s">
        <v>24</v>
      </c>
      <c r="C14" s="5" t="s">
        <v>13</v>
      </c>
      <c r="D14" s="5">
        <v>1986</v>
      </c>
      <c r="E14" s="12">
        <v>4</v>
      </c>
      <c r="F14" s="12">
        <v>3</v>
      </c>
      <c r="G14" s="12">
        <v>5</v>
      </c>
      <c r="H14" s="6">
        <f t="shared" si="0"/>
        <v>3.8</v>
      </c>
      <c r="I14" s="6" t="str">
        <f t="shared" si="1"/>
        <v>Rớt</v>
      </c>
      <c r="J14" s="6">
        <f t="shared" si="2"/>
        <v>12</v>
      </c>
      <c r="K14" s="17">
        <f t="shared" si="3"/>
        <v>0</v>
      </c>
    </row>
    <row r="15" spans="1:11">
      <c r="A15" s="13" t="s">
        <v>25</v>
      </c>
      <c r="B15" s="14"/>
      <c r="C15" s="14"/>
      <c r="D15" s="15"/>
      <c r="E15" s="12">
        <f>AVERAGE(E3:E14)</f>
        <v>6.5</v>
      </c>
      <c r="F15" s="12">
        <f t="shared" ref="F15:H15" si="4">AVERAGE(F3:F14)</f>
        <v>6.04166666666667</v>
      </c>
      <c r="G15" s="12">
        <f t="shared" si="4"/>
        <v>6.54166666666667</v>
      </c>
      <c r="H15" s="12">
        <f t="shared" si="4"/>
        <v>6.325</v>
      </c>
      <c r="I15" s="6"/>
      <c r="J15" s="6"/>
      <c r="K15" s="17"/>
    </row>
    <row r="16" spans="1:11">
      <c r="A16" s="13" t="s">
        <v>26</v>
      </c>
      <c r="B16" s="14"/>
      <c r="C16" s="14"/>
      <c r="D16" s="15"/>
      <c r="E16" s="12">
        <f>MAX(E3:E15)</f>
        <v>10</v>
      </c>
      <c r="F16" s="12">
        <f t="shared" ref="F16:H16" si="5">MAX(F3:F15)</f>
        <v>9</v>
      </c>
      <c r="G16" s="12">
        <f t="shared" si="5"/>
        <v>9</v>
      </c>
      <c r="H16" s="12">
        <f t="shared" si="5"/>
        <v>9</v>
      </c>
      <c r="I16" s="6"/>
      <c r="J16" s="6"/>
      <c r="K16" s="18"/>
    </row>
    <row r="17" spans="1:11">
      <c r="A17" s="13" t="s">
        <v>27</v>
      </c>
      <c r="B17" s="14"/>
      <c r="C17" s="14"/>
      <c r="D17" s="15"/>
      <c r="E17" s="12">
        <f>MIN(E3:E14)</f>
        <v>3</v>
      </c>
      <c r="F17" s="12">
        <f t="shared" ref="F17:H17" si="6">MIN(F3:F14)</f>
        <v>3</v>
      </c>
      <c r="G17" s="12">
        <f t="shared" si="6"/>
        <v>4</v>
      </c>
      <c r="H17" s="12">
        <f t="shared" si="6"/>
        <v>3.8</v>
      </c>
      <c r="I17" s="6"/>
      <c r="J17" s="6"/>
      <c r="K17" s="18"/>
    </row>
  </sheetData>
  <mergeCells count="4">
    <mergeCell ref="A1:K1"/>
    <mergeCell ref="A15:D15"/>
    <mergeCell ref="A16:D16"/>
    <mergeCell ref="A17:D17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F4" sqref="F4"/>
    </sheetView>
  </sheetViews>
  <sheetFormatPr defaultColWidth="9" defaultRowHeight="14.5" outlineLevelRow="7" outlineLevelCol="7"/>
  <cols>
    <col min="1" max="1" width="5.90909090909091" customWidth="1"/>
    <col min="2" max="2" width="12.8181818181818" customWidth="1"/>
    <col min="5" max="8" width="13.7272727272727" customWidth="1"/>
  </cols>
  <sheetData>
    <row r="1" ht="28" customHeight="1" spans="1:8">
      <c r="A1" s="1" t="s">
        <v>28</v>
      </c>
      <c r="B1" s="2"/>
      <c r="C1" s="2"/>
      <c r="D1" s="2"/>
      <c r="E1" s="2"/>
      <c r="F1" s="2"/>
      <c r="G1" s="2"/>
      <c r="H1" s="3"/>
    </row>
    <row r="2" ht="19.5" customHeight="1" spans="1:8">
      <c r="A2" s="4" t="s">
        <v>1</v>
      </c>
      <c r="B2" s="4" t="s">
        <v>29</v>
      </c>
      <c r="C2" s="4" t="s">
        <v>30</v>
      </c>
      <c r="D2" s="4" t="s">
        <v>3</v>
      </c>
      <c r="E2" s="4" t="s">
        <v>31</v>
      </c>
      <c r="F2" s="4" t="s">
        <v>32</v>
      </c>
      <c r="G2" s="4" t="s">
        <v>33</v>
      </c>
      <c r="H2" s="4" t="s">
        <v>34</v>
      </c>
    </row>
    <row r="3" spans="1:8">
      <c r="A3" s="5">
        <v>1</v>
      </c>
      <c r="B3" s="5" t="s">
        <v>35</v>
      </c>
      <c r="C3" s="5" t="s">
        <v>36</v>
      </c>
      <c r="D3" s="5" t="s">
        <v>13</v>
      </c>
      <c r="E3" s="6">
        <v>25</v>
      </c>
      <c r="F3" s="6">
        <f>IF(D3="NỮ",200000,0)</f>
        <v>0</v>
      </c>
      <c r="G3" s="6">
        <f>IF(E3&gt;=24,300000,0)</f>
        <v>300000</v>
      </c>
      <c r="H3" s="6">
        <f>IF(OR(AND(D3="NAM",E3&gt;26),AND(D3="NỮ",E3&gt;25)),100000,0)</f>
        <v>0</v>
      </c>
    </row>
    <row r="4" spans="1:8">
      <c r="A4" s="5">
        <v>2</v>
      </c>
      <c r="B4" s="5" t="s">
        <v>37</v>
      </c>
      <c r="C4" s="5" t="s">
        <v>38</v>
      </c>
      <c r="D4" s="5" t="s">
        <v>13</v>
      </c>
      <c r="E4" s="6">
        <v>24</v>
      </c>
      <c r="F4" s="6">
        <f t="shared" ref="F4:F8" si="0">IF(D4="NỮ",200000,0)</f>
        <v>0</v>
      </c>
      <c r="G4" s="6">
        <f t="shared" ref="G4:G8" si="1">IF(E4&gt;=24,300000,0)</f>
        <v>300000</v>
      </c>
      <c r="H4" s="6">
        <f t="shared" ref="H4:H8" si="2">IF(OR(AND(D4="NAM",E4&gt;26),AND(D4="NỮ",E4&gt;25)),100000,0)</f>
        <v>0</v>
      </c>
    </row>
    <row r="5" spans="1:8">
      <c r="A5" s="5">
        <v>3</v>
      </c>
      <c r="B5" s="5" t="s">
        <v>39</v>
      </c>
      <c r="C5" s="5" t="s">
        <v>40</v>
      </c>
      <c r="D5" s="5" t="s">
        <v>17</v>
      </c>
      <c r="E5" s="6">
        <v>26</v>
      </c>
      <c r="F5" s="6">
        <f t="shared" si="0"/>
        <v>200000</v>
      </c>
      <c r="G5" s="6">
        <f t="shared" si="1"/>
        <v>300000</v>
      </c>
      <c r="H5" s="6">
        <f t="shared" si="2"/>
        <v>100000</v>
      </c>
    </row>
    <row r="6" spans="1:8">
      <c r="A6" s="5">
        <v>4</v>
      </c>
      <c r="B6" s="5" t="s">
        <v>41</v>
      </c>
      <c r="C6" s="5" t="s">
        <v>42</v>
      </c>
      <c r="D6" s="5" t="s">
        <v>17</v>
      </c>
      <c r="E6" s="6">
        <v>22</v>
      </c>
      <c r="F6" s="6">
        <f t="shared" si="0"/>
        <v>200000</v>
      </c>
      <c r="G6" s="6">
        <f t="shared" si="1"/>
        <v>0</v>
      </c>
      <c r="H6" s="6">
        <f t="shared" si="2"/>
        <v>0</v>
      </c>
    </row>
    <row r="7" spans="1:8">
      <c r="A7" s="5">
        <v>5</v>
      </c>
      <c r="B7" s="5" t="s">
        <v>43</v>
      </c>
      <c r="C7" s="5" t="s">
        <v>44</v>
      </c>
      <c r="D7" s="5" t="s">
        <v>13</v>
      </c>
      <c r="E7" s="6">
        <v>27</v>
      </c>
      <c r="F7" s="6">
        <f t="shared" si="0"/>
        <v>0</v>
      </c>
      <c r="G7" s="6">
        <f t="shared" si="1"/>
        <v>300000</v>
      </c>
      <c r="H7" s="6">
        <f t="shared" si="2"/>
        <v>100000</v>
      </c>
    </row>
    <row r="8" spans="1:8">
      <c r="A8" s="5">
        <v>6</v>
      </c>
      <c r="B8" s="5" t="s">
        <v>45</v>
      </c>
      <c r="C8" s="5" t="s">
        <v>46</v>
      </c>
      <c r="D8" s="5" t="s">
        <v>17</v>
      </c>
      <c r="E8" s="6">
        <v>25</v>
      </c>
      <c r="F8" s="6">
        <f t="shared" si="0"/>
        <v>200000</v>
      </c>
      <c r="G8" s="6">
        <f t="shared" si="1"/>
        <v>300000</v>
      </c>
      <c r="H8" s="6">
        <f t="shared" si="2"/>
        <v>0</v>
      </c>
    </row>
  </sheetData>
  <mergeCells count="1">
    <mergeCell ref="A1:H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Bài 1</vt:lpstr>
      <vt:lpstr>Bài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Bích Bùi Ngọc</cp:lastModifiedBy>
  <dcterms:created xsi:type="dcterms:W3CDTF">2025-12-22T02:37:00Z</dcterms:created>
  <dcterms:modified xsi:type="dcterms:W3CDTF">2025-12-22T03:09:00Z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CEFF0943FB1E4F45AE2B94CAFD4FD06F_13</vt:lpwstr>
  </property>
  <property fmtid="{D5CDD505-2E9C-101B-9397-08002B2CF9AE}" pid="3" name="KSOProductBuildVer">
    <vt:lpwstr>1033-12.2.0.23155</vt:lpwstr>
  </property>
</Properties>
</file>