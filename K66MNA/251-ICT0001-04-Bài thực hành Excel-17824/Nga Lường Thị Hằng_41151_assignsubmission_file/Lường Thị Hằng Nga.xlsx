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07CB429-EF16-43AC-A592-4FA58312BE63}" xr6:coauthVersionLast="47" xr6:coauthVersionMax="47" xr10:uidLastSave="{00000000-0000-0000-0000-000000000000}"/>
  <bookViews>
    <workbookView xWindow="-110" yWindow="-110" windowWidth="19420" windowHeight="10420" activeTab="2" xr2:uid="{F9F00A07-74B4-45C9-8205-8E25682CB7AC}"/>
  </bookViews>
  <sheets>
    <sheet name="Bảng tính 1" sheetId="1" r:id="rId1"/>
    <sheet name="Bảng tính 2" sheetId="2" r:id="rId2"/>
    <sheet name="Bảng tính 3" sheetId="3" r:id="rId3"/>
    <sheet name="Bảng tính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11" i="3"/>
  <c r="G12" i="3"/>
  <c r="G13" i="3"/>
  <c r="G15" i="3"/>
  <c r="G16" i="3"/>
  <c r="G2" i="3"/>
  <c r="K4" i="1"/>
  <c r="K5" i="1"/>
  <c r="K6" i="1"/>
  <c r="K7" i="1"/>
  <c r="K8" i="1"/>
  <c r="K9" i="1"/>
  <c r="K10" i="1"/>
  <c r="K11" i="1"/>
  <c r="K12" i="1"/>
  <c r="K13" i="1"/>
  <c r="K14" i="1"/>
  <c r="J4" i="1"/>
  <c r="J5" i="1"/>
  <c r="J6" i="1"/>
  <c r="J7" i="1"/>
  <c r="J8" i="1"/>
  <c r="J9" i="1"/>
  <c r="J10" i="1"/>
  <c r="J11" i="1"/>
  <c r="J12" i="1"/>
  <c r="J13" i="1"/>
  <c r="J14" i="1"/>
  <c r="I4" i="1"/>
  <c r="I5" i="1"/>
  <c r="I6" i="1"/>
  <c r="I7" i="1"/>
  <c r="I8" i="1"/>
  <c r="I9" i="1"/>
  <c r="I10" i="1"/>
  <c r="I11" i="1"/>
  <c r="I12" i="1"/>
  <c r="I13" i="1"/>
  <c r="I14" i="1"/>
  <c r="O5" i="4"/>
  <c r="O4" i="4"/>
  <c r="N5" i="4"/>
  <c r="N4" i="4"/>
  <c r="M5" i="4"/>
  <c r="M4" i="4"/>
  <c r="G9" i="4"/>
  <c r="G4" i="4"/>
  <c r="G3" i="4"/>
  <c r="G5" i="4"/>
  <c r="G6" i="4"/>
  <c r="G7" i="4"/>
  <c r="G8" i="4"/>
  <c r="G2" i="4"/>
  <c r="H4" i="4"/>
  <c r="I4" i="4" s="1"/>
  <c r="H9" i="4"/>
  <c r="I9" i="4" s="1"/>
  <c r="E4" i="4"/>
  <c r="F4" i="4" s="1"/>
  <c r="E9" i="4"/>
  <c r="F9" i="4" s="1"/>
  <c r="C2" i="4"/>
  <c r="D2" i="4" s="1"/>
  <c r="D4" i="4"/>
  <c r="D9" i="4"/>
  <c r="C9" i="4"/>
  <c r="C4" i="4"/>
  <c r="C3" i="4"/>
  <c r="H3" i="4" s="1"/>
  <c r="C5" i="4"/>
  <c r="E5" i="4" s="1"/>
  <c r="C6" i="4"/>
  <c r="H6" i="4" s="1"/>
  <c r="C7" i="4"/>
  <c r="H7" i="4" s="1"/>
  <c r="C8" i="4"/>
  <c r="E8" i="4" s="1"/>
  <c r="I20" i="3"/>
  <c r="J20" i="3"/>
  <c r="K20" i="3"/>
  <c r="H20" i="3"/>
  <c r="I19" i="3"/>
  <c r="J19" i="3"/>
  <c r="K19" i="3"/>
  <c r="H19" i="3"/>
  <c r="I18" i="3"/>
  <c r="J18" i="3"/>
  <c r="K18" i="3"/>
  <c r="H18" i="3"/>
  <c r="K1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17" i="3"/>
  <c r="I17" i="3"/>
  <c r="H1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K3" i="1"/>
  <c r="H17" i="1"/>
  <c r="H16" i="1"/>
  <c r="H15" i="1"/>
  <c r="H4" i="1"/>
  <c r="J3" i="1" s="1"/>
  <c r="H5" i="1"/>
  <c r="H6" i="1"/>
  <c r="H7" i="1"/>
  <c r="H8" i="1"/>
  <c r="H9" i="1"/>
  <c r="H10" i="1"/>
  <c r="H11" i="1"/>
  <c r="H12" i="1"/>
  <c r="H13" i="1"/>
  <c r="H14" i="1"/>
  <c r="H3" i="1"/>
  <c r="I3" i="1"/>
  <c r="G17" i="1"/>
  <c r="F17" i="1"/>
  <c r="E17" i="1"/>
  <c r="G16" i="1"/>
  <c r="F16" i="1"/>
  <c r="E16" i="1"/>
  <c r="G15" i="1"/>
  <c r="F15" i="1"/>
  <c r="E15" i="1"/>
  <c r="I7" i="4" l="1"/>
  <c r="I3" i="4"/>
  <c r="G10" i="4"/>
  <c r="I6" i="4"/>
  <c r="E7" i="4"/>
  <c r="F7" i="4" s="1"/>
  <c r="E6" i="4"/>
  <c r="F6" i="4" s="1"/>
  <c r="J4" i="4"/>
  <c r="J6" i="4"/>
  <c r="F8" i="4"/>
  <c r="F5" i="4"/>
  <c r="E3" i="4"/>
  <c r="H2" i="4"/>
  <c r="D8" i="4"/>
  <c r="D7" i="4"/>
  <c r="H8" i="4"/>
  <c r="I8" i="4" s="1"/>
  <c r="J9" i="4"/>
  <c r="D6" i="4"/>
  <c r="D5" i="4"/>
  <c r="E2" i="4"/>
  <c r="H5" i="4"/>
  <c r="I5" i="4" s="1"/>
  <c r="D3" i="4"/>
  <c r="J7" i="4" l="1"/>
  <c r="E10" i="4"/>
  <c r="J2" i="4"/>
  <c r="F2" i="4"/>
  <c r="H10" i="4"/>
  <c r="I2" i="4"/>
  <c r="I10" i="4" s="1"/>
  <c r="J3" i="4"/>
  <c r="F3" i="4"/>
  <c r="J5" i="4"/>
  <c r="J8" i="4"/>
  <c r="F10" i="4" l="1"/>
  <c r="J10" i="4"/>
</calcChain>
</file>

<file path=xl/sharedStrings.xml><?xml version="1.0" encoding="utf-8"?>
<sst xmlns="http://schemas.openxmlformats.org/spreadsheetml/2006/main" count="166" uniqueCount="126">
  <si>
    <t>KẾT QUẢ THI CUỐI KHÓA</t>
  </si>
  <si>
    <t>STT</t>
  </si>
  <si>
    <t>TÊN HS</t>
  </si>
  <si>
    <t>LÂM</t>
  </si>
  <si>
    <t>HẢI</t>
  </si>
  <si>
    <t>HIỆP</t>
  </si>
  <si>
    <t>THẢO</t>
  </si>
  <si>
    <t xml:space="preserve">MINH </t>
  </si>
  <si>
    <t>HỒNG</t>
  </si>
  <si>
    <t>LINH</t>
  </si>
  <si>
    <t xml:space="preserve">NAM </t>
  </si>
  <si>
    <t>DIỄM</t>
  </si>
  <si>
    <t xml:space="preserve">NGA </t>
  </si>
  <si>
    <t>KHOA</t>
  </si>
  <si>
    <t>SƠN</t>
  </si>
  <si>
    <t>PHÁI</t>
  </si>
  <si>
    <t>NAM</t>
  </si>
  <si>
    <t>NỮ</t>
  </si>
  <si>
    <t>NS</t>
  </si>
  <si>
    <t>TOÁN</t>
  </si>
  <si>
    <t>VĂN</t>
  </si>
  <si>
    <t>NGOẠI NGỮ</t>
  </si>
  <si>
    <t>ĐTB</t>
  </si>
  <si>
    <t>KQ</t>
  </si>
  <si>
    <t>XẾP HẠNG</t>
  </si>
  <si>
    <t>TRUNG BÌNH</t>
  </si>
  <si>
    <t>CAO NHẤT</t>
  </si>
  <si>
    <t>THẤP NHẤT</t>
  </si>
  <si>
    <t>HỌ</t>
  </si>
  <si>
    <t>TÊN</t>
  </si>
  <si>
    <t>NGÀY CÔNG</t>
  </si>
  <si>
    <t>KHEN THƯỞNG</t>
  </si>
  <si>
    <t>DANH SÁCH THƯỞNG THÁNG 03</t>
  </si>
  <si>
    <t>THƯỞNG 8-3</t>
  </si>
  <si>
    <t>THƯỞNG A</t>
  </si>
  <si>
    <t>Trần Thanh</t>
  </si>
  <si>
    <t xml:space="preserve">Phạm Hùng </t>
  </si>
  <si>
    <t>Lê Ngọc</t>
  </si>
  <si>
    <t xml:space="preserve">Phạm Thanh </t>
  </si>
  <si>
    <t>Phạm Hoài</t>
  </si>
  <si>
    <t>Lê Thanh</t>
  </si>
  <si>
    <t>Tuấn</t>
  </si>
  <si>
    <t>Cường</t>
  </si>
  <si>
    <t>Xuân</t>
  </si>
  <si>
    <t>Long</t>
  </si>
  <si>
    <t xml:space="preserve">Nam </t>
  </si>
  <si>
    <t>Lan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</si>
  <si>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</si>
  <si>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</si>
  <si>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</si>
  <si>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</si>
  <si>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</si>
  <si>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</si>
  <si>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</si>
  <si>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</si>
  <si>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>Nguyễn Văn Tâm</t>
  </si>
  <si>
    <t>Nguyễn Thị Hằng</t>
  </si>
  <si>
    <t>Ngô Thị Nga</t>
  </si>
  <si>
    <t>Trần Thiên Thu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</si>
  <si>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</si>
  <si>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</si>
  <si>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</si>
  <si>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</si>
  <si>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</si>
  <si>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</si>
  <si>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</si>
  <si>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Tấn Thành</t>
  </si>
  <si>
    <t>Lâm Hoàng Cát</t>
  </si>
  <si>
    <t>Lê Văn Minh</t>
  </si>
  <si>
    <t>Doãn Hòa</t>
  </si>
  <si>
    <t>TỔNG CỘNG</t>
  </si>
  <si>
    <t>BÌNH QUÂN</t>
  </si>
  <si>
    <t>TP</t>
  </si>
  <si>
    <t>NV</t>
  </si>
  <si>
    <t>PP</t>
  </si>
  <si>
    <t>KT</t>
  </si>
  <si>
    <t>BV</t>
  </si>
  <si>
    <t>GD</t>
  </si>
  <si>
    <t>PGD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</si>
  <si>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</si>
  <si>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</si>
  <si>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</si>
  <si>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</si>
  <si>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</si>
  <si>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</si>
  <si>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</si>
  <si>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</si>
  <si>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</si>
  <si>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</si>
  <si>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</si>
  <si>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</si>
  <si>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</si>
  <si>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</si>
  <si>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CÒN LẠI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</si>
  <si>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</si>
  <si>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</si>
  <si>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</si>
  <si>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</si>
  <si>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</si>
  <si>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</si>
  <si>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</si>
  <si>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</si>
  <si>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</si>
  <si>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</si>
  <si>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Pa0C115</t>
  </si>
  <si>
    <t>Sa0B2</t>
  </si>
  <si>
    <t>To0C23</t>
  </si>
  <si>
    <t>Hi0C12</t>
  </si>
  <si>
    <t>Hi0A13</t>
  </si>
  <si>
    <t>To0B12</t>
  </si>
  <si>
    <t>CỘNG</t>
  </si>
  <si>
    <t>Bảng tra dữ liệu các loại máy lạnh:</t>
  </si>
  <si>
    <t>Pa</t>
  </si>
  <si>
    <t>To</t>
  </si>
  <si>
    <t>Hi</t>
  </si>
  <si>
    <t xml:space="preserve">Sa </t>
  </si>
  <si>
    <t>Máy lạnh Panasonic</t>
  </si>
  <si>
    <t>Máy lạnh Toshiba</t>
  </si>
  <si>
    <t>Máy lạnh Sanyo</t>
  </si>
  <si>
    <t>Máy lạnh Hitachi</t>
  </si>
  <si>
    <t>300$</t>
  </si>
  <si>
    <t>250$</t>
  </si>
  <si>
    <t>210$</t>
  </si>
  <si>
    <t>220$</t>
  </si>
  <si>
    <t>1960$</t>
  </si>
  <si>
    <t>Danh sách các mặt hàng có tiền xuất &gt;=20000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</si>
</sst>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0" xfId="0" applyBorder="1"/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/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164" fontId="0" fillId="0" borderId="8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44" fontId="0" fillId="0" borderId="17" xfId="1" applyFont="1" applyBorder="1" applyAlignment="1">
      <alignment horizontal="center"/>
    </xf>
    <xf numFmtId="0" fontId="0" fillId="0" borderId="3" xfId="0" applyBorder="1"/>
    <xf numFmtId="0" fontId="0" fillId="0" borderId="9" xfId="0" applyBorder="1"/>
    <xf numFmtId="0" fontId="0" fillId="0" borderId="21" xfId="0" applyBorder="1" applyAlignment="1">
      <alignment horizontal="center" vertical="center"/>
    </xf>
    <xf numFmtId="0" fontId="0" fillId="2" borderId="10" xfId="0" applyFill="1" applyBorder="1"/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44" fontId="0" fillId="0" borderId="1" xfId="1" applyFont="1" applyBorder="1"/>
    <xf numFmtId="0" fontId="0" fillId="0" borderId="1" xfId="1" applyNumberFormat="1" applyFont="1" applyBorder="1"/>
    <xf numFmtId="0" fontId="0" fillId="2" borderId="1" xfId="0" applyFill="1" applyBorder="1"/>
    <xf numFmtId="0" fontId="0" fillId="0" borderId="2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25F4-643A-41B4-A093-7FEF75B844FE}">
  <dimension ref="A1:K17"/>
  <sheetViews>
    <sheetView workbookViewId="0">
      <selection activeCell="N12" sqref="N12:N13"/>
    </sheetView>
  </sheetViews>
  <sheetFormatPr defaultRowHeight="14.5" x14ac:dyDescent="0.35"/>
  <cols>
    <col min="2" max="2" width="9.81640625" customWidth="1"/>
    <col min="7" max="7" width="10.1796875" customWidth="1"/>
    <col min="11" max="11" width="13.54296875" customWidth="1"/>
  </cols>
  <sheetData>
    <row r="1" spans="1:11" ht="20.399999999999999" customHeight="1" thickBot="1" x14ac:dyDescent="0.4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27.65" customHeight="1" thickBot="1" x14ac:dyDescent="0.4">
      <c r="A2" s="46" t="s">
        <v>1</v>
      </c>
      <c r="B2" s="46" t="s">
        <v>2</v>
      </c>
      <c r="C2" s="51" t="s">
        <v>15</v>
      </c>
      <c r="D2" s="46" t="s">
        <v>18</v>
      </c>
      <c r="E2" s="51" t="s">
        <v>19</v>
      </c>
      <c r="F2" s="46" t="s">
        <v>20</v>
      </c>
      <c r="G2" s="52" t="s">
        <v>21</v>
      </c>
      <c r="H2" s="46" t="s">
        <v>22</v>
      </c>
      <c r="I2" s="51" t="s">
        <v>23</v>
      </c>
      <c r="J2" s="53" t="s">
        <v>24</v>
      </c>
      <c r="K2" s="25" t="s">
        <v>31</v>
      </c>
    </row>
    <row r="3" spans="1:11" ht="15" thickBot="1" x14ac:dyDescent="0.4">
      <c r="A3" s="8">
        <v>1</v>
      </c>
      <c r="B3" s="8" t="s">
        <v>3</v>
      </c>
      <c r="C3" s="9" t="s">
        <v>16</v>
      </c>
      <c r="D3" s="8">
        <v>1988</v>
      </c>
      <c r="E3" s="10">
        <v>10</v>
      </c>
      <c r="F3" s="7">
        <v>8</v>
      </c>
      <c r="G3" s="10">
        <v>9</v>
      </c>
      <c r="H3" s="11">
        <f>ROUND((E3*2+F3*2+G3)/5,2)</f>
        <v>9</v>
      </c>
      <c r="I3" s="9" t="str">
        <f>IF(H3&gt;=5,"Đạt",IF(H3&lt;5,"Rớt"))</f>
        <v>Đạt</v>
      </c>
      <c r="J3" s="8">
        <f>RANK(H3,$H$2:$H$14,0)</f>
        <v>1</v>
      </c>
      <c r="K3" s="24" t="str">
        <f>IF(J3=1,"200000",IF(J3=2,"100000",IF(J3&gt;2,"0")))</f>
        <v>200000</v>
      </c>
    </row>
    <row r="4" spans="1:11" ht="15" thickBot="1" x14ac:dyDescent="0.4">
      <c r="A4" s="8">
        <v>2</v>
      </c>
      <c r="B4" s="8" t="s">
        <v>4</v>
      </c>
      <c r="C4" s="9" t="s">
        <v>16</v>
      </c>
      <c r="D4" s="8">
        <v>1987</v>
      </c>
      <c r="E4" s="10">
        <v>8</v>
      </c>
      <c r="F4" s="7">
        <v>8.5</v>
      </c>
      <c r="G4" s="10">
        <v>9</v>
      </c>
      <c r="H4" s="11">
        <f t="shared" ref="H4:H14" si="0">ROUND((E4*2+F4*2+G4)/5,2)</f>
        <v>8.4</v>
      </c>
      <c r="I4" s="8" t="str">
        <f t="shared" ref="I4:I14" si="1">IF(H4&gt;=5,"Đạt",IF(H4&lt;5,"Rớt"))</f>
        <v>Đạt</v>
      </c>
      <c r="J4" s="8">
        <f t="shared" ref="J4:J14" si="2">RANK(H4,$H$2:$H$14,0)</f>
        <v>2</v>
      </c>
      <c r="K4" s="26" t="str">
        <f t="shared" ref="K4:K14" si="3">IF(J4=1,"200000",IF(J4=2,"100000",IF(J4&gt;2,"0")))</f>
        <v>100000</v>
      </c>
    </row>
    <row r="5" spans="1:11" ht="15" thickBot="1" x14ac:dyDescent="0.4">
      <c r="A5" s="13">
        <v>3</v>
      </c>
      <c r="B5" s="13" t="s">
        <v>5</v>
      </c>
      <c r="C5" s="14" t="s">
        <v>16</v>
      </c>
      <c r="D5" s="13">
        <v>1986</v>
      </c>
      <c r="E5" s="45">
        <v>9</v>
      </c>
      <c r="F5" s="15">
        <v>8</v>
      </c>
      <c r="G5" s="45">
        <v>7</v>
      </c>
      <c r="H5" s="16">
        <f t="shared" si="0"/>
        <v>8.1999999999999993</v>
      </c>
      <c r="I5" s="14" t="str">
        <f t="shared" si="1"/>
        <v>Đạt</v>
      </c>
      <c r="J5" s="13">
        <f t="shared" si="2"/>
        <v>3</v>
      </c>
      <c r="K5" s="24" t="str">
        <f t="shared" si="3"/>
        <v>0</v>
      </c>
    </row>
    <row r="6" spans="1:11" ht="15" thickBot="1" x14ac:dyDescent="0.4">
      <c r="A6" s="8">
        <v>4</v>
      </c>
      <c r="B6" s="8" t="s">
        <v>6</v>
      </c>
      <c r="C6" s="9" t="s">
        <v>17</v>
      </c>
      <c r="D6" s="8">
        <v>1988</v>
      </c>
      <c r="E6" s="10">
        <v>10</v>
      </c>
      <c r="F6" s="7">
        <v>4</v>
      </c>
      <c r="G6" s="10">
        <v>7</v>
      </c>
      <c r="H6" s="11">
        <f t="shared" si="0"/>
        <v>7</v>
      </c>
      <c r="I6" s="8" t="str">
        <f t="shared" si="1"/>
        <v>Đạt</v>
      </c>
      <c r="J6" s="8">
        <f t="shared" si="2"/>
        <v>4</v>
      </c>
      <c r="K6" s="26" t="str">
        <f t="shared" si="3"/>
        <v>0</v>
      </c>
    </row>
    <row r="7" spans="1:11" ht="15" thickBot="1" x14ac:dyDescent="0.4">
      <c r="A7" s="13">
        <v>5</v>
      </c>
      <c r="B7" s="13" t="s">
        <v>7</v>
      </c>
      <c r="C7" s="14" t="s">
        <v>16</v>
      </c>
      <c r="D7" s="13">
        <v>1988</v>
      </c>
      <c r="E7" s="45">
        <v>9</v>
      </c>
      <c r="F7" s="15">
        <v>5</v>
      </c>
      <c r="G7" s="45">
        <v>6</v>
      </c>
      <c r="H7" s="16">
        <f t="shared" si="0"/>
        <v>6.8</v>
      </c>
      <c r="I7" s="14" t="str">
        <f t="shared" si="1"/>
        <v>Đạt</v>
      </c>
      <c r="J7" s="13">
        <f t="shared" si="2"/>
        <v>5</v>
      </c>
      <c r="K7" s="24" t="str">
        <f t="shared" si="3"/>
        <v>0</v>
      </c>
    </row>
    <row r="8" spans="1:11" ht="15" thickBot="1" x14ac:dyDescent="0.4">
      <c r="A8" s="8">
        <v>6</v>
      </c>
      <c r="B8" s="8" t="s">
        <v>8</v>
      </c>
      <c r="C8" s="9" t="s">
        <v>17</v>
      </c>
      <c r="D8" s="8">
        <v>1987</v>
      </c>
      <c r="E8" s="10">
        <v>6</v>
      </c>
      <c r="F8" s="7">
        <v>6</v>
      </c>
      <c r="G8" s="10">
        <v>8</v>
      </c>
      <c r="H8" s="11">
        <f t="shared" si="0"/>
        <v>6.4</v>
      </c>
      <c r="I8" s="8" t="str">
        <f t="shared" si="1"/>
        <v>Đạt</v>
      </c>
      <c r="J8" s="8">
        <f t="shared" si="2"/>
        <v>6</v>
      </c>
      <c r="K8" s="26" t="str">
        <f t="shared" si="3"/>
        <v>0</v>
      </c>
    </row>
    <row r="9" spans="1:11" ht="15" thickBot="1" x14ac:dyDescent="0.4">
      <c r="A9" s="13">
        <v>7</v>
      </c>
      <c r="B9" s="13" t="s">
        <v>9</v>
      </c>
      <c r="C9" s="14" t="s">
        <v>16</v>
      </c>
      <c r="D9" s="13">
        <v>1986</v>
      </c>
      <c r="E9" s="45">
        <v>7</v>
      </c>
      <c r="F9" s="15">
        <v>5</v>
      </c>
      <c r="G9" s="45">
        <v>6</v>
      </c>
      <c r="H9" s="16">
        <f t="shared" si="0"/>
        <v>6</v>
      </c>
      <c r="I9" s="14" t="str">
        <f t="shared" si="1"/>
        <v>Đạt</v>
      </c>
      <c r="J9" s="13">
        <f t="shared" si="2"/>
        <v>8</v>
      </c>
      <c r="K9" s="24" t="str">
        <f t="shared" si="3"/>
        <v>0</v>
      </c>
    </row>
    <row r="10" spans="1:11" ht="15" thickBot="1" x14ac:dyDescent="0.4">
      <c r="A10" s="8">
        <v>8</v>
      </c>
      <c r="B10" s="8" t="s">
        <v>10</v>
      </c>
      <c r="C10" s="9" t="s">
        <v>16</v>
      </c>
      <c r="D10" s="8">
        <v>1988</v>
      </c>
      <c r="E10" s="10">
        <v>3</v>
      </c>
      <c r="F10" s="7">
        <v>9</v>
      </c>
      <c r="G10" s="10">
        <v>7</v>
      </c>
      <c r="H10" s="11">
        <f t="shared" si="0"/>
        <v>6.2</v>
      </c>
      <c r="I10" s="8" t="str">
        <f t="shared" si="1"/>
        <v>Đạt</v>
      </c>
      <c r="J10" s="8">
        <f t="shared" si="2"/>
        <v>7</v>
      </c>
      <c r="K10" s="26" t="str">
        <f t="shared" si="3"/>
        <v>0</v>
      </c>
    </row>
    <row r="11" spans="1:11" ht="15" thickBot="1" x14ac:dyDescent="0.4">
      <c r="A11" s="13">
        <v>9</v>
      </c>
      <c r="B11" s="13" t="s">
        <v>11</v>
      </c>
      <c r="C11" s="14" t="s">
        <v>17</v>
      </c>
      <c r="D11" s="13">
        <v>1988</v>
      </c>
      <c r="E11" s="45">
        <v>4</v>
      </c>
      <c r="F11" s="15">
        <v>5</v>
      </c>
      <c r="G11" s="45">
        <v>5</v>
      </c>
      <c r="H11" s="16">
        <f t="shared" si="0"/>
        <v>4.5999999999999996</v>
      </c>
      <c r="I11" s="14" t="str">
        <f t="shared" si="1"/>
        <v>Rớt</v>
      </c>
      <c r="J11" s="13">
        <f t="shared" si="2"/>
        <v>10</v>
      </c>
      <c r="K11" s="24" t="str">
        <f t="shared" si="3"/>
        <v>0</v>
      </c>
    </row>
    <row r="12" spans="1:11" ht="15" thickBot="1" x14ac:dyDescent="0.4">
      <c r="A12" s="8">
        <v>10</v>
      </c>
      <c r="B12" s="8" t="s">
        <v>12</v>
      </c>
      <c r="C12" s="9" t="s">
        <v>17</v>
      </c>
      <c r="D12" s="8">
        <v>1988</v>
      </c>
      <c r="E12" s="10">
        <v>4</v>
      </c>
      <c r="F12" s="7">
        <v>6</v>
      </c>
      <c r="G12" s="10">
        <v>4</v>
      </c>
      <c r="H12" s="11">
        <f t="shared" si="0"/>
        <v>4.8</v>
      </c>
      <c r="I12" s="8" t="str">
        <f t="shared" si="1"/>
        <v>Rớt</v>
      </c>
      <c r="J12" s="8">
        <f t="shared" si="2"/>
        <v>9</v>
      </c>
      <c r="K12" s="26" t="str">
        <f t="shared" si="3"/>
        <v>0</v>
      </c>
    </row>
    <row r="13" spans="1:11" ht="15" thickBot="1" x14ac:dyDescent="0.4">
      <c r="A13" s="13">
        <v>11</v>
      </c>
      <c r="B13" s="13" t="s">
        <v>13</v>
      </c>
      <c r="C13" s="14" t="s">
        <v>16</v>
      </c>
      <c r="D13" s="13">
        <v>1987</v>
      </c>
      <c r="E13" s="45">
        <v>3</v>
      </c>
      <c r="F13" s="15">
        <v>5</v>
      </c>
      <c r="G13" s="45">
        <v>5</v>
      </c>
      <c r="H13" s="16">
        <f t="shared" si="0"/>
        <v>4.2</v>
      </c>
      <c r="I13" s="14" t="str">
        <f t="shared" si="1"/>
        <v>Rớt</v>
      </c>
      <c r="J13" s="13">
        <f t="shared" si="2"/>
        <v>11</v>
      </c>
      <c r="K13" s="24" t="str">
        <f t="shared" si="3"/>
        <v>0</v>
      </c>
    </row>
    <row r="14" spans="1:11" ht="15" thickBot="1" x14ac:dyDescent="0.4">
      <c r="A14" s="8">
        <v>12</v>
      </c>
      <c r="B14" s="8" t="s">
        <v>14</v>
      </c>
      <c r="C14" s="9" t="s">
        <v>16</v>
      </c>
      <c r="D14" s="8">
        <v>1986</v>
      </c>
      <c r="E14" s="10">
        <v>4</v>
      </c>
      <c r="F14" s="7">
        <v>3</v>
      </c>
      <c r="G14" s="10">
        <v>5</v>
      </c>
      <c r="H14" s="11">
        <f t="shared" si="0"/>
        <v>3.8</v>
      </c>
      <c r="I14" s="8" t="str">
        <f t="shared" si="1"/>
        <v>Rớt</v>
      </c>
      <c r="J14" s="8">
        <f t="shared" si="2"/>
        <v>12</v>
      </c>
      <c r="K14" s="24" t="str">
        <f t="shared" si="3"/>
        <v>0</v>
      </c>
    </row>
    <row r="15" spans="1:11" ht="15" thickBot="1" x14ac:dyDescent="0.4">
      <c r="A15" s="54" t="s">
        <v>25</v>
      </c>
      <c r="B15" s="55"/>
      <c r="C15" s="55"/>
      <c r="D15" s="56"/>
      <c r="E15" s="45">
        <f>AVERAGE(E3:E14)</f>
        <v>6.416666666666667</v>
      </c>
      <c r="F15" s="15">
        <f>AVERAGE(F3:F14)</f>
        <v>6.041666666666667</v>
      </c>
      <c r="G15" s="45">
        <f>AVERAGE(G3:G14)</f>
        <v>6.5</v>
      </c>
      <c r="H15" s="16">
        <f>AVERAGE(H3:H14)</f>
        <v>6.2833333333333323</v>
      </c>
      <c r="I15" s="50"/>
      <c r="J15" s="13"/>
      <c r="K15" s="17"/>
    </row>
    <row r="16" spans="1:11" ht="15" thickBot="1" x14ac:dyDescent="0.4">
      <c r="A16" s="57" t="s">
        <v>26</v>
      </c>
      <c r="B16" s="58"/>
      <c r="C16" s="58"/>
      <c r="D16" s="59"/>
      <c r="E16" s="23">
        <f>MAX(E3:E14)</f>
        <v>10</v>
      </c>
      <c r="F16" s="7">
        <f>MAX(F3:F14)</f>
        <v>9</v>
      </c>
      <c r="G16" s="10">
        <f>MAX(G3:G14)</f>
        <v>9</v>
      </c>
      <c r="H16" s="7">
        <f>MAX(H3:H14)</f>
        <v>9</v>
      </c>
      <c r="I16" s="8"/>
      <c r="J16" s="8"/>
      <c r="K16" s="12"/>
    </row>
    <row r="17" spans="1:11" ht="15" thickBot="1" x14ac:dyDescent="0.4">
      <c r="A17" s="57" t="s">
        <v>27</v>
      </c>
      <c r="B17" s="58"/>
      <c r="C17" s="58"/>
      <c r="D17" s="59"/>
      <c r="E17" s="18">
        <f>MIN(E3:E14)</f>
        <v>3</v>
      </c>
      <c r="F17" s="19">
        <f>MIN(F3:F14)</f>
        <v>3</v>
      </c>
      <c r="G17" s="18">
        <f>MIN(G3:G14)</f>
        <v>4</v>
      </c>
      <c r="H17" s="19">
        <f>MIN(H3:H14)</f>
        <v>3.8</v>
      </c>
      <c r="I17" s="21"/>
      <c r="J17" s="21"/>
      <c r="K17" s="22"/>
    </row>
  </sheetData>
  <mergeCells count="4">
    <mergeCell ref="A15:D15"/>
    <mergeCell ref="A16:D16"/>
    <mergeCell ref="A17:D17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2CFF-3645-40AE-A1D8-C5F1404406DE}">
  <dimension ref="A1:H8"/>
  <sheetViews>
    <sheetView workbookViewId="0">
      <selection activeCell="G4" sqref="G4"/>
    </sheetView>
  </sheetViews>
  <sheetFormatPr defaultRowHeight="14.5" x14ac:dyDescent="0.35"/>
  <cols>
    <col min="2" max="2" width="13.6328125" customWidth="1"/>
    <col min="5" max="5" width="13.1796875" customWidth="1"/>
    <col min="6" max="6" width="13.90625" customWidth="1"/>
    <col min="7" max="7" width="11.08984375" customWidth="1"/>
  </cols>
  <sheetData>
    <row r="1" spans="1:8" ht="15" thickBot="1" x14ac:dyDescent="0.4">
      <c r="A1" s="60" t="s">
        <v>32</v>
      </c>
      <c r="B1" s="61"/>
      <c r="C1" s="61"/>
      <c r="D1" s="61"/>
      <c r="E1" s="61"/>
      <c r="F1" s="61"/>
      <c r="G1" s="61"/>
      <c r="H1" s="30"/>
    </row>
    <row r="2" spans="1:8" ht="15" thickBot="1" x14ac:dyDescent="0.4">
      <c r="A2" s="31" t="s">
        <v>1</v>
      </c>
      <c r="B2" s="8" t="s">
        <v>28</v>
      </c>
      <c r="C2" s="9" t="s">
        <v>29</v>
      </c>
      <c r="D2" s="8" t="s">
        <v>15</v>
      </c>
      <c r="E2" s="28" t="s">
        <v>30</v>
      </c>
      <c r="F2" s="27" t="s">
        <v>33</v>
      </c>
      <c r="G2" s="12" t="s">
        <v>34</v>
      </c>
      <c r="H2" s="27" t="s">
        <v>47</v>
      </c>
    </row>
    <row r="3" spans="1:8" ht="15" thickBot="1" x14ac:dyDescent="0.4">
      <c r="A3" s="32">
        <v>1</v>
      </c>
      <c r="B3" s="34" t="s">
        <v>35</v>
      </c>
      <c r="C3" s="35" t="s">
        <v>41</v>
      </c>
      <c r="D3" s="21" t="s">
        <v>16</v>
      </c>
      <c r="E3" s="20">
        <v>25</v>
      </c>
      <c r="F3" s="21">
        <f>IF(D3="NỮ","200000",0)</f>
        <v>0</v>
      </c>
      <c r="G3" s="29" t="str">
        <f>IF(E3&gt;=24,"300000",0)</f>
        <v>300000</v>
      </c>
      <c r="H3" s="8">
        <f>IF(OR(AND(D3="Nam",E3&gt;26),AND(D3="NỮ",E3&gt;25)),100000,0)</f>
        <v>0</v>
      </c>
    </row>
    <row r="4" spans="1:8" ht="15" thickBot="1" x14ac:dyDescent="0.4">
      <c r="A4" s="33">
        <v>2</v>
      </c>
      <c r="B4" s="36" t="s">
        <v>36</v>
      </c>
      <c r="C4" s="37" t="s">
        <v>42</v>
      </c>
      <c r="D4" s="13" t="s">
        <v>16</v>
      </c>
      <c r="E4" s="14">
        <v>24</v>
      </c>
      <c r="F4" s="21">
        <f t="shared" ref="F4:F8" si="0">IF(D4="NỮ","200000",0)</f>
        <v>0</v>
      </c>
      <c r="G4" s="29" t="str">
        <f t="shared" ref="G4:G8" si="1">IF(E4&gt;=24,"300000",0)</f>
        <v>300000</v>
      </c>
      <c r="H4" s="13">
        <f t="shared" ref="H4:H8" si="2">IF(OR(AND(D4="Nam",E4&gt;26),AND(D4="NỮ",E4&gt;25)),100000,0)</f>
        <v>0</v>
      </c>
    </row>
    <row r="5" spans="1:8" ht="15" thickBot="1" x14ac:dyDescent="0.4">
      <c r="A5" s="31">
        <v>3</v>
      </c>
      <c r="B5" s="38" t="s">
        <v>37</v>
      </c>
      <c r="C5" s="39" t="s">
        <v>43</v>
      </c>
      <c r="D5" s="8" t="s">
        <v>17</v>
      </c>
      <c r="E5" s="9">
        <v>26</v>
      </c>
      <c r="F5" s="21" t="str">
        <f t="shared" si="0"/>
        <v>200000</v>
      </c>
      <c r="G5" s="29" t="str">
        <f t="shared" si="1"/>
        <v>300000</v>
      </c>
      <c r="H5" s="8">
        <f t="shared" si="2"/>
        <v>100000</v>
      </c>
    </row>
    <row r="6" spans="1:8" ht="15" thickBot="1" x14ac:dyDescent="0.4">
      <c r="A6" s="33">
        <v>4</v>
      </c>
      <c r="B6" s="36" t="s">
        <v>38</v>
      </c>
      <c r="C6" s="37" t="s">
        <v>44</v>
      </c>
      <c r="D6" s="13" t="s">
        <v>17</v>
      </c>
      <c r="E6" s="14">
        <v>22</v>
      </c>
      <c r="F6" s="21" t="str">
        <f t="shared" si="0"/>
        <v>200000</v>
      </c>
      <c r="G6" s="29">
        <f t="shared" si="1"/>
        <v>0</v>
      </c>
      <c r="H6" s="13">
        <f t="shared" si="2"/>
        <v>0</v>
      </c>
    </row>
    <row r="7" spans="1:8" ht="15" thickBot="1" x14ac:dyDescent="0.4">
      <c r="A7" s="31">
        <v>5</v>
      </c>
      <c r="B7" s="38" t="s">
        <v>39</v>
      </c>
      <c r="C7" s="39" t="s">
        <v>45</v>
      </c>
      <c r="D7" s="8" t="s">
        <v>16</v>
      </c>
      <c r="E7" s="9">
        <v>27</v>
      </c>
      <c r="F7" s="21">
        <f t="shared" si="0"/>
        <v>0</v>
      </c>
      <c r="G7" s="29" t="str">
        <f t="shared" si="1"/>
        <v>300000</v>
      </c>
      <c r="H7" s="8">
        <f t="shared" si="2"/>
        <v>100000</v>
      </c>
    </row>
    <row r="8" spans="1:8" ht="15" thickBot="1" x14ac:dyDescent="0.4">
      <c r="A8" s="32">
        <v>6</v>
      </c>
      <c r="B8" s="34" t="s">
        <v>40</v>
      </c>
      <c r="C8" s="35" t="s">
        <v>46</v>
      </c>
      <c r="D8" s="21" t="s">
        <v>17</v>
      </c>
      <c r="E8" s="20">
        <v>25</v>
      </c>
      <c r="F8" s="21" t="str">
        <f t="shared" si="0"/>
        <v>200000</v>
      </c>
      <c r="G8" s="29" t="str">
        <f t="shared" si="1"/>
        <v>300000</v>
      </c>
      <c r="H8" s="21">
        <f t="shared" si="2"/>
        <v>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2254-210B-4D66-944F-9F80949F93F2}">
  <dimension ref="A1:K20"/>
  <sheetViews>
    <sheetView tabSelected="1" workbookViewId="0">
      <selection activeCell="G6" sqref="G6"/>
    </sheetView>
  </sheetViews>
  <sheetFormatPr defaultRowHeight="14.5" x14ac:dyDescent="0.35"/>
  <cols>
    <col min="2" max="2" width="17.453125" customWidth="1"/>
    <col min="3" max="3" width="8.1796875" customWidth="1"/>
    <col min="4" max="4" width="11.453125" customWidth="1"/>
    <col min="5" max="5" width="14" customWidth="1"/>
    <col min="6" max="6" width="14.81640625" customWidth="1"/>
    <col min="7" max="7" width="10.36328125" bestFit="1" customWidth="1"/>
    <col min="8" max="8" width="10.1796875" customWidth="1"/>
    <col min="9" max="9" width="10.81640625" customWidth="1"/>
    <col min="10" max="10" width="11.08984375" customWidth="1"/>
    <col min="11" max="11" width="11.54296875" customWidth="1"/>
  </cols>
  <sheetData>
    <row r="1" spans="1:11" ht="24.65" customHeight="1" x14ac:dyDescent="0.35">
      <c r="A1" s="5" t="s">
        <v>1</v>
      </c>
      <c r="B1" s="5" t="s">
        <v>48</v>
      </c>
      <c r="C1" s="6" t="s">
        <v>49</v>
      </c>
      <c r="D1" s="6" t="s">
        <v>50</v>
      </c>
      <c r="E1" s="6" t="s">
        <v>51</v>
      </c>
      <c r="F1" s="5" t="s">
        <v>52</v>
      </c>
      <c r="G1" s="5" t="s">
        <v>91</v>
      </c>
      <c r="H1" s="5" t="s">
        <v>53</v>
      </c>
      <c r="I1" s="5" t="s">
        <v>92</v>
      </c>
      <c r="J1" s="6" t="s">
        <v>54</v>
      </c>
      <c r="K1" s="5" t="s">
        <v>93</v>
      </c>
    </row>
    <row r="2" spans="1:11" x14ac:dyDescent="0.35">
      <c r="A2" s="4">
        <v>1</v>
      </c>
      <c r="B2" s="41" t="s">
        <v>55</v>
      </c>
      <c r="C2" s="4" t="s">
        <v>72</v>
      </c>
      <c r="D2" s="4" t="s">
        <v>79</v>
      </c>
      <c r="E2" s="3">
        <v>120000</v>
      </c>
      <c r="F2" s="3">
        <v>25</v>
      </c>
      <c r="G2" s="3">
        <f ca="1">YEAR(TODAY())-RIGHT(D2,4)</f>
        <v>58</v>
      </c>
      <c r="H2" s="3">
        <f>E2*F2</f>
        <v>3000000</v>
      </c>
      <c r="I2" s="2">
        <f>IF(C2="GĐ",500000,IF(C2="PGĐ",400000,IF(C2="TP",300000,IF(C2="PP",200000,100000))))</f>
        <v>300000</v>
      </c>
      <c r="J2" s="2">
        <f t="shared" ref="J2:J16" si="0">80%*H2</f>
        <v>2400000</v>
      </c>
      <c r="K2" s="2">
        <f>H2+I2-J2</f>
        <v>900000</v>
      </c>
    </row>
    <row r="3" spans="1:11" x14ac:dyDescent="0.35">
      <c r="A3" s="1">
        <v>2</v>
      </c>
      <c r="B3" s="42" t="s">
        <v>56</v>
      </c>
      <c r="C3" s="1" t="s">
        <v>73</v>
      </c>
      <c r="D3" s="1" t="s">
        <v>80</v>
      </c>
      <c r="E3" s="2">
        <v>160000</v>
      </c>
      <c r="F3" s="2">
        <v>24</v>
      </c>
      <c r="G3" s="3">
        <f t="shared" ref="G3:G16" ca="1" si="1">YEAR(TODAY())-RIGHT(D3,4)</f>
        <v>50</v>
      </c>
      <c r="H3" s="3">
        <f t="shared" ref="H3:H16" si="2">E3*F3</f>
        <v>3840000</v>
      </c>
      <c r="I3" s="2">
        <f t="shared" ref="I3:I16" si="3">IF(C3="GĐ",500000,IF(C3="PGĐ",400000,IF(C3="TP",300000,IF(C3="PP",200000,100000))))</f>
        <v>100000</v>
      </c>
      <c r="J3" s="2">
        <f t="shared" si="0"/>
        <v>3072000</v>
      </c>
      <c r="K3" s="2">
        <f t="shared" ref="K3:K16" si="4">H3+I3-J3</f>
        <v>868000</v>
      </c>
    </row>
    <row r="4" spans="1:11" x14ac:dyDescent="0.35">
      <c r="A4" s="4">
        <v>3</v>
      </c>
      <c r="B4" s="42" t="s">
        <v>57</v>
      </c>
      <c r="C4" s="1" t="s">
        <v>74</v>
      </c>
      <c r="D4" s="1" t="s">
        <v>81</v>
      </c>
      <c r="E4" s="2">
        <v>150000</v>
      </c>
      <c r="F4" s="2">
        <v>26</v>
      </c>
      <c r="G4" s="3">
        <f t="shared" ca="1" si="1"/>
        <v>57</v>
      </c>
      <c r="H4" s="3">
        <f t="shared" si="2"/>
        <v>3900000</v>
      </c>
      <c r="I4" s="2">
        <f t="shared" si="3"/>
        <v>200000</v>
      </c>
      <c r="J4" s="2">
        <f t="shared" si="0"/>
        <v>3120000</v>
      </c>
      <c r="K4" s="2">
        <f t="shared" si="4"/>
        <v>980000</v>
      </c>
    </row>
    <row r="5" spans="1:11" x14ac:dyDescent="0.35">
      <c r="A5" s="1">
        <v>4</v>
      </c>
      <c r="B5" s="42" t="s">
        <v>58</v>
      </c>
      <c r="C5" s="1" t="s">
        <v>73</v>
      </c>
      <c r="D5" s="1" t="s">
        <v>82</v>
      </c>
      <c r="E5" s="2">
        <v>130000</v>
      </c>
      <c r="F5" s="2">
        <v>20</v>
      </c>
      <c r="G5" s="3">
        <f t="shared" ca="1" si="1"/>
        <v>67</v>
      </c>
      <c r="H5" s="3">
        <f t="shared" si="2"/>
        <v>2600000</v>
      </c>
      <c r="I5" s="2">
        <f t="shared" si="3"/>
        <v>100000</v>
      </c>
      <c r="J5" s="2">
        <f t="shared" si="0"/>
        <v>2080000</v>
      </c>
      <c r="K5" s="2">
        <f t="shared" si="4"/>
        <v>620000</v>
      </c>
    </row>
    <row r="6" spans="1:11" x14ac:dyDescent="0.35">
      <c r="A6" s="4">
        <v>5</v>
      </c>
      <c r="B6" s="43" t="s">
        <v>67</v>
      </c>
      <c r="C6" s="1" t="s">
        <v>75</v>
      </c>
      <c r="D6" s="1" t="s">
        <v>83</v>
      </c>
      <c r="E6" s="2">
        <v>180000</v>
      </c>
      <c r="F6" s="2">
        <v>23</v>
      </c>
      <c r="G6" s="3">
        <f t="shared" ca="1" si="1"/>
        <v>47</v>
      </c>
      <c r="H6" s="3">
        <f t="shared" si="2"/>
        <v>4140000</v>
      </c>
      <c r="I6" s="2">
        <f t="shared" si="3"/>
        <v>100000</v>
      </c>
      <c r="J6" s="2">
        <f t="shared" si="0"/>
        <v>3312000</v>
      </c>
      <c r="K6" s="2">
        <f t="shared" si="4"/>
        <v>928000</v>
      </c>
    </row>
    <row r="7" spans="1:11" x14ac:dyDescent="0.35">
      <c r="A7" s="1">
        <v>6</v>
      </c>
      <c r="B7" s="42" t="s">
        <v>59</v>
      </c>
      <c r="C7" s="1" t="s">
        <v>76</v>
      </c>
      <c r="D7" s="1" t="s">
        <v>84</v>
      </c>
      <c r="E7" s="2">
        <v>150000</v>
      </c>
      <c r="F7" s="2">
        <v>24</v>
      </c>
      <c r="G7" s="3">
        <f t="shared" ca="1" si="1"/>
        <v>56</v>
      </c>
      <c r="H7" s="3">
        <f t="shared" si="2"/>
        <v>3600000</v>
      </c>
      <c r="I7" s="2">
        <f t="shared" si="3"/>
        <v>100000</v>
      </c>
      <c r="J7" s="2">
        <f t="shared" si="0"/>
        <v>2880000</v>
      </c>
      <c r="K7" s="2">
        <f t="shared" si="4"/>
        <v>820000</v>
      </c>
    </row>
    <row r="8" spans="1:11" x14ac:dyDescent="0.35">
      <c r="A8" s="4">
        <v>7</v>
      </c>
      <c r="B8" s="42" t="s">
        <v>60</v>
      </c>
      <c r="C8" s="1" t="s">
        <v>74</v>
      </c>
      <c r="D8" s="1" t="s">
        <v>85</v>
      </c>
      <c r="E8" s="2">
        <v>140000</v>
      </c>
      <c r="F8" s="2">
        <v>27</v>
      </c>
      <c r="G8" s="3">
        <f t="shared" ca="1" si="1"/>
        <v>56</v>
      </c>
      <c r="H8" s="3">
        <f t="shared" si="2"/>
        <v>3780000</v>
      </c>
      <c r="I8" s="2">
        <f t="shared" si="3"/>
        <v>200000</v>
      </c>
      <c r="J8" s="2">
        <f t="shared" si="0"/>
        <v>3024000</v>
      </c>
      <c r="K8" s="2">
        <f t="shared" si="4"/>
        <v>956000</v>
      </c>
    </row>
    <row r="9" spans="1:11" x14ac:dyDescent="0.35">
      <c r="A9" s="1">
        <v>8</v>
      </c>
      <c r="B9" s="42" t="s">
        <v>61</v>
      </c>
      <c r="C9" s="1" t="s">
        <v>77</v>
      </c>
      <c r="D9" s="44">
        <v>20648</v>
      </c>
      <c r="E9" s="2">
        <v>160000</v>
      </c>
      <c r="F9" s="2">
        <v>14</v>
      </c>
      <c r="G9" s="3">
        <v>69</v>
      </c>
      <c r="H9" s="3">
        <f t="shared" si="2"/>
        <v>2240000</v>
      </c>
      <c r="I9" s="2">
        <f t="shared" si="3"/>
        <v>100000</v>
      </c>
      <c r="J9" s="2">
        <f t="shared" si="0"/>
        <v>1792000</v>
      </c>
      <c r="K9" s="2">
        <f t="shared" si="4"/>
        <v>548000</v>
      </c>
    </row>
    <row r="10" spans="1:11" x14ac:dyDescent="0.35">
      <c r="A10" s="4">
        <v>9</v>
      </c>
      <c r="B10" s="42" t="s">
        <v>62</v>
      </c>
      <c r="C10" s="1" t="s">
        <v>76</v>
      </c>
      <c r="D10" s="44">
        <v>22046</v>
      </c>
      <c r="E10" s="2">
        <v>150000</v>
      </c>
      <c r="F10" s="2">
        <v>17</v>
      </c>
      <c r="G10" s="3">
        <v>65</v>
      </c>
      <c r="H10" s="3">
        <f t="shared" si="2"/>
        <v>2550000</v>
      </c>
      <c r="I10" s="2">
        <f t="shared" si="3"/>
        <v>100000</v>
      </c>
      <c r="J10" s="2">
        <f t="shared" si="0"/>
        <v>2040000</v>
      </c>
      <c r="K10" s="2">
        <f t="shared" si="4"/>
        <v>610000</v>
      </c>
    </row>
    <row r="11" spans="1:11" x14ac:dyDescent="0.35">
      <c r="A11" s="1">
        <v>10</v>
      </c>
      <c r="B11" s="42" t="s">
        <v>63</v>
      </c>
      <c r="C11" s="1" t="s">
        <v>73</v>
      </c>
      <c r="D11" s="1" t="s">
        <v>86</v>
      </c>
      <c r="E11" s="2">
        <v>130000</v>
      </c>
      <c r="F11" s="2">
        <v>23</v>
      </c>
      <c r="G11" s="3">
        <f t="shared" ca="1" si="1"/>
        <v>71</v>
      </c>
      <c r="H11" s="3">
        <f t="shared" si="2"/>
        <v>2990000</v>
      </c>
      <c r="I11" s="2">
        <f t="shared" si="3"/>
        <v>100000</v>
      </c>
      <c r="J11" s="2">
        <f t="shared" si="0"/>
        <v>2392000</v>
      </c>
      <c r="K11" s="2">
        <f t="shared" si="4"/>
        <v>698000</v>
      </c>
    </row>
    <row r="12" spans="1:11" x14ac:dyDescent="0.35">
      <c r="A12" s="4">
        <v>11</v>
      </c>
      <c r="B12" s="42" t="s">
        <v>64</v>
      </c>
      <c r="C12" s="1" t="s">
        <v>72</v>
      </c>
      <c r="D12" s="1" t="s">
        <v>87</v>
      </c>
      <c r="E12" s="2">
        <v>180000</v>
      </c>
      <c r="F12" s="2">
        <v>22</v>
      </c>
      <c r="G12" s="3">
        <f t="shared" ca="1" si="1"/>
        <v>58</v>
      </c>
      <c r="H12" s="3">
        <f t="shared" si="2"/>
        <v>3960000</v>
      </c>
      <c r="I12" s="2">
        <f t="shared" si="3"/>
        <v>300000</v>
      </c>
      <c r="J12" s="2">
        <f t="shared" si="0"/>
        <v>3168000</v>
      </c>
      <c r="K12" s="2">
        <f t="shared" si="4"/>
        <v>1092000</v>
      </c>
    </row>
    <row r="13" spans="1:11" x14ac:dyDescent="0.35">
      <c r="A13" s="1">
        <v>12</v>
      </c>
      <c r="B13" s="42" t="s">
        <v>65</v>
      </c>
      <c r="C13" s="1" t="s">
        <v>73</v>
      </c>
      <c r="D13" s="1" t="s">
        <v>88</v>
      </c>
      <c r="E13" s="2">
        <v>150000</v>
      </c>
      <c r="F13" s="2">
        <v>14</v>
      </c>
      <c r="G13" s="3">
        <f t="shared" ca="1" si="1"/>
        <v>56</v>
      </c>
      <c r="H13" s="3">
        <f t="shared" si="2"/>
        <v>2100000</v>
      </c>
      <c r="I13" s="2">
        <f t="shared" si="3"/>
        <v>100000</v>
      </c>
      <c r="J13" s="2">
        <f t="shared" si="0"/>
        <v>1680000</v>
      </c>
      <c r="K13" s="2">
        <f t="shared" si="4"/>
        <v>520000</v>
      </c>
    </row>
    <row r="14" spans="1:11" x14ac:dyDescent="0.35">
      <c r="A14" s="4">
        <v>13</v>
      </c>
      <c r="B14" s="42" t="s">
        <v>66</v>
      </c>
      <c r="C14" s="1" t="s">
        <v>78</v>
      </c>
      <c r="D14" s="44">
        <v>21467</v>
      </c>
      <c r="E14" s="2">
        <v>180000</v>
      </c>
      <c r="F14" s="2">
        <v>23</v>
      </c>
      <c r="G14" s="3">
        <v>67</v>
      </c>
      <c r="H14" s="3">
        <f t="shared" si="2"/>
        <v>4140000</v>
      </c>
      <c r="I14" s="2">
        <f t="shared" si="3"/>
        <v>100000</v>
      </c>
      <c r="J14" s="2">
        <f t="shared" si="0"/>
        <v>3312000</v>
      </c>
      <c r="K14" s="2">
        <f t="shared" si="4"/>
        <v>928000</v>
      </c>
    </row>
    <row r="15" spans="1:11" x14ac:dyDescent="0.35">
      <c r="A15" s="1">
        <v>14</v>
      </c>
      <c r="B15" s="42" t="s">
        <v>68</v>
      </c>
      <c r="C15" s="1" t="s">
        <v>72</v>
      </c>
      <c r="D15" s="1" t="s">
        <v>89</v>
      </c>
      <c r="E15" s="40">
        <v>160000</v>
      </c>
      <c r="F15" s="2">
        <v>27</v>
      </c>
      <c r="G15" s="3">
        <f t="shared" ca="1" si="1"/>
        <v>71</v>
      </c>
      <c r="H15" s="3">
        <f t="shared" si="2"/>
        <v>4320000</v>
      </c>
      <c r="I15" s="2">
        <f t="shared" si="3"/>
        <v>300000</v>
      </c>
      <c r="J15" s="2">
        <f t="shared" si="0"/>
        <v>3456000</v>
      </c>
      <c r="K15" s="2">
        <f t="shared" si="4"/>
        <v>1164000</v>
      </c>
    </row>
    <row r="16" spans="1:11" x14ac:dyDescent="0.35">
      <c r="A16" s="4">
        <v>15</v>
      </c>
      <c r="B16" s="42" t="s">
        <v>69</v>
      </c>
      <c r="C16" s="1" t="s">
        <v>76</v>
      </c>
      <c r="D16" s="1" t="s">
        <v>90</v>
      </c>
      <c r="E16" s="40">
        <v>130000</v>
      </c>
      <c r="F16" s="2">
        <v>26</v>
      </c>
      <c r="G16" s="3">
        <f t="shared" ca="1" si="1"/>
        <v>57</v>
      </c>
      <c r="H16" s="3">
        <f t="shared" si="2"/>
        <v>3380000</v>
      </c>
      <c r="I16" s="2">
        <f t="shared" si="3"/>
        <v>100000</v>
      </c>
      <c r="J16" s="2">
        <f t="shared" si="0"/>
        <v>2704000</v>
      </c>
      <c r="K16" s="2">
        <f t="shared" si="4"/>
        <v>776000</v>
      </c>
    </row>
    <row r="17" spans="1:11" x14ac:dyDescent="0.35">
      <c r="A17" s="63" t="s">
        <v>70</v>
      </c>
      <c r="B17" s="63"/>
      <c r="C17" s="63"/>
      <c r="D17" s="63"/>
      <c r="E17" s="63"/>
      <c r="F17" s="63"/>
      <c r="G17" s="64"/>
      <c r="H17" s="2">
        <f>SUM(H2:H16)</f>
        <v>50540000</v>
      </c>
      <c r="I17" s="2">
        <f>SUM(I2:I16)</f>
        <v>2300000</v>
      </c>
      <c r="J17" s="2">
        <f>SUM(J2:J16)</f>
        <v>40432000</v>
      </c>
      <c r="K17" s="2">
        <f>SUM(K2:K16)</f>
        <v>12408000</v>
      </c>
    </row>
    <row r="18" spans="1:11" x14ac:dyDescent="0.35">
      <c r="A18" s="65" t="s">
        <v>71</v>
      </c>
      <c r="B18" s="66"/>
      <c r="C18" s="66"/>
      <c r="D18" s="66"/>
      <c r="E18" s="66"/>
      <c r="F18" s="66"/>
      <c r="G18" s="67"/>
      <c r="H18" s="2">
        <f>AVERAGE(H2:H16)</f>
        <v>3369333.3333333335</v>
      </c>
      <c r="I18" s="2">
        <f t="shared" ref="I18:K18" si="5">AVERAGE(I2:I16)</f>
        <v>153333.33333333334</v>
      </c>
      <c r="J18" s="2">
        <f t="shared" si="5"/>
        <v>2695466.6666666665</v>
      </c>
      <c r="K18" s="2">
        <f t="shared" si="5"/>
        <v>827200</v>
      </c>
    </row>
    <row r="19" spans="1:11" x14ac:dyDescent="0.35">
      <c r="A19" s="68" t="s">
        <v>26</v>
      </c>
      <c r="B19" s="63"/>
      <c r="C19" s="63"/>
      <c r="D19" s="63"/>
      <c r="E19" s="63"/>
      <c r="F19" s="63"/>
      <c r="G19" s="64"/>
      <c r="H19" s="2">
        <f>MAX(H2:H16)</f>
        <v>4320000</v>
      </c>
      <c r="I19" s="2">
        <f t="shared" ref="I19:K19" si="6">MAX(I2:I16)</f>
        <v>300000</v>
      </c>
      <c r="J19" s="2">
        <f t="shared" si="6"/>
        <v>3456000</v>
      </c>
      <c r="K19" s="2">
        <f t="shared" si="6"/>
        <v>1164000</v>
      </c>
    </row>
    <row r="20" spans="1:11" x14ac:dyDescent="0.35">
      <c r="A20" s="68" t="s">
        <v>27</v>
      </c>
      <c r="B20" s="63"/>
      <c r="C20" s="63"/>
      <c r="D20" s="63"/>
      <c r="E20" s="63"/>
      <c r="F20" s="63"/>
      <c r="G20" s="64"/>
      <c r="H20" s="2">
        <f>MIN(H2:H16)</f>
        <v>2100000</v>
      </c>
      <c r="I20" s="2">
        <f t="shared" ref="I20:K20" si="7">MIN(I2:I16)</f>
        <v>100000</v>
      </c>
      <c r="J20" s="2">
        <f t="shared" si="7"/>
        <v>1680000</v>
      </c>
      <c r="K20" s="2">
        <f t="shared" si="7"/>
        <v>520000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D14D-9E4F-4881-B6BB-F50BBA662E7E}">
  <dimension ref="A1:O16"/>
  <sheetViews>
    <sheetView workbookViewId="0">
      <selection activeCell="D21" sqref="D21"/>
    </sheetView>
  </sheetViews>
  <sheetFormatPr defaultRowHeight="14.5" x14ac:dyDescent="0.35"/>
  <cols>
    <col min="3" max="3" width="25.1796875" customWidth="1"/>
    <col min="6" max="6" width="11.1796875" bestFit="1" customWidth="1"/>
    <col min="9" max="9" width="12.1796875" bestFit="1" customWidth="1"/>
    <col min="12" max="12" width="5.08984375" customWidth="1"/>
    <col min="13" max="13" width="9" customWidth="1"/>
    <col min="14" max="14" width="18.08984375" customWidth="1"/>
    <col min="15" max="15" width="10.54296875" customWidth="1"/>
  </cols>
  <sheetData>
    <row r="1" spans="1:15" ht="25.75" customHeight="1" x14ac:dyDescent="0.35">
      <c r="A1" s="6" t="s">
        <v>1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  <c r="H1" s="6" t="s">
        <v>100</v>
      </c>
      <c r="I1" s="6" t="s">
        <v>101</v>
      </c>
      <c r="J1" s="6" t="s">
        <v>102</v>
      </c>
    </row>
    <row r="2" spans="1:15" x14ac:dyDescent="0.35">
      <c r="A2" s="2">
        <v>1</v>
      </c>
      <c r="B2" s="2" t="s">
        <v>103</v>
      </c>
      <c r="C2" s="2" t="str">
        <f>VLOOKUP(LEFT(B2,2),$B$12:$F$16,2,0)</f>
        <v>Máy lạnh Panasonic</v>
      </c>
      <c r="D2" s="2" t="str">
        <f>VLOOKUP(C2,$C$13:$D$16,2,0)</f>
        <v>300$</v>
      </c>
      <c r="E2" s="2">
        <f>VLOOKUP(C2,$C$13:$E$16,3,0)</f>
        <v>130</v>
      </c>
      <c r="F2" s="48">
        <f>E2*300</f>
        <v>39000</v>
      </c>
      <c r="G2" s="2">
        <f>IF(MID(B2,4,1)="A",VALUE(SUBSTITUTE(VLOOKUP(LEFT(B2,2),$B$13:$F$16,3,0),"$",""))+15,IF(MID(B2,4,1)="B",VALUE(SUBSTITUTE(VLOOKUP(LEFT(B2,2),$B$13:$F$16,3,0),"$",""))+12,VALUE(SUBSTITUTE(VLOOKUP(LEFT(B2,2),$B$13:$F$16,3,0),"$",""))+10))</f>
        <v>315</v>
      </c>
      <c r="H2" s="2">
        <f>VLOOKUP(C2,$C$13:$F$16,4,0)</f>
        <v>100</v>
      </c>
      <c r="I2" s="47">
        <f>H2*G2</f>
        <v>31500</v>
      </c>
      <c r="J2" s="2" t="str">
        <f>IF(E2-H2&gt;=60,"Bán chậm",IF(E2-H2&gt;=30,"Bán được","Bán chạy"))</f>
        <v>Bán được</v>
      </c>
      <c r="L2" s="71" t="s">
        <v>125</v>
      </c>
      <c r="M2" s="71"/>
      <c r="N2" s="71"/>
      <c r="O2" s="71"/>
    </row>
    <row r="3" spans="1:15" x14ac:dyDescent="0.35">
      <c r="A3" s="2">
        <v>2</v>
      </c>
      <c r="B3" s="2" t="s">
        <v>104</v>
      </c>
      <c r="C3" s="2" t="str">
        <f t="shared" ref="C3:C8" si="0">VLOOKUP(LEFT(B3,2),$B$12:$F$16,2,0)</f>
        <v>Máy lạnh Panasonic</v>
      </c>
      <c r="D3" s="2" t="str">
        <f t="shared" ref="D3:D9" si="1">VLOOKUP(C3,$C$13:$D$16,2,0)</f>
        <v>300$</v>
      </c>
      <c r="E3" s="2">
        <f t="shared" ref="E3:E9" si="2">VLOOKUP(C3,$C$13:$E$16,3,0)</f>
        <v>130</v>
      </c>
      <c r="F3" s="2">
        <f>E3*300</f>
        <v>39000</v>
      </c>
      <c r="G3" s="2">
        <f t="shared" ref="G3:G8" si="3">IF(MID(B3,4,1)="A",VALUE(SUBSTITUTE(VLOOKUP(LEFT(B3,2),$B$13:$F$16,3,0),"$",""))+15,IF(MID(B3,4,1)="B",VALUE(SUBSTITUTE(VLOOKUP(LEFT(B3,2),$B$13:$F$16,3,0),"$",""))+12,VALUE(SUBSTITUTE(VLOOKUP(LEFT(B3,2),$B$13:$F$16,3,0),"$",""))+10))</f>
        <v>310</v>
      </c>
      <c r="H3" s="2">
        <f t="shared" ref="H3:H9" si="4">VLOOKUP(C3,$C$13:$F$16,4,0)</f>
        <v>100</v>
      </c>
      <c r="I3" s="47">
        <f t="shared" ref="I3:I9" si="5">H3*G3</f>
        <v>31000</v>
      </c>
      <c r="J3" s="2" t="str">
        <f t="shared" ref="J3:J10" si="6">IF(E3-H3&gt;=60,"Bán chậm",IF(E3-H3&gt;=30,"Bán được","Bán chạy"))</f>
        <v>Bán được</v>
      </c>
      <c r="L3" s="49" t="s">
        <v>1</v>
      </c>
      <c r="M3" s="49" t="s">
        <v>94</v>
      </c>
      <c r="N3" s="49" t="s">
        <v>95</v>
      </c>
      <c r="O3" s="49" t="s">
        <v>101</v>
      </c>
    </row>
    <row r="4" spans="1:15" x14ac:dyDescent="0.35">
      <c r="A4" s="2">
        <v>3</v>
      </c>
      <c r="B4" s="2" t="s">
        <v>105</v>
      </c>
      <c r="C4" s="2" t="str">
        <f>C15</f>
        <v>Máy lạnh Sanyo</v>
      </c>
      <c r="D4" s="2" t="str">
        <f t="shared" si="1"/>
        <v>210$</v>
      </c>
      <c r="E4" s="2">
        <f t="shared" si="2"/>
        <v>126</v>
      </c>
      <c r="F4" s="2">
        <f>E4*210</f>
        <v>26460</v>
      </c>
      <c r="G4" s="2">
        <f>210+12</f>
        <v>222</v>
      </c>
      <c r="H4" s="2">
        <f t="shared" si="4"/>
        <v>85</v>
      </c>
      <c r="I4" s="47">
        <f t="shared" si="5"/>
        <v>18870</v>
      </c>
      <c r="J4" s="2" t="str">
        <f t="shared" si="6"/>
        <v>Bán được</v>
      </c>
      <c r="L4" s="2">
        <v>1</v>
      </c>
      <c r="M4" s="2" t="str">
        <f>B2</f>
        <v>Pa0A12</v>
      </c>
      <c r="N4" s="2" t="str">
        <f>C2</f>
        <v>Máy lạnh Panasonic</v>
      </c>
      <c r="O4" s="2">
        <f>I2</f>
        <v>31500</v>
      </c>
    </row>
    <row r="5" spans="1:15" x14ac:dyDescent="0.35">
      <c r="A5" s="2">
        <v>4</v>
      </c>
      <c r="B5" s="2" t="s">
        <v>106</v>
      </c>
      <c r="C5" s="2" t="str">
        <f t="shared" si="0"/>
        <v>Máy lạnh Toshiba</v>
      </c>
      <c r="D5" s="2" t="str">
        <f t="shared" si="1"/>
        <v>250$</v>
      </c>
      <c r="E5" s="2">
        <f t="shared" si="2"/>
        <v>90</v>
      </c>
      <c r="F5" s="2">
        <f>E5*250</f>
        <v>22500</v>
      </c>
      <c r="G5" s="2">
        <f t="shared" si="3"/>
        <v>260</v>
      </c>
      <c r="H5" s="2">
        <f t="shared" si="4"/>
        <v>60</v>
      </c>
      <c r="I5" s="47">
        <f t="shared" si="5"/>
        <v>15600</v>
      </c>
      <c r="J5" s="2" t="str">
        <f t="shared" si="6"/>
        <v>Bán được</v>
      </c>
      <c r="L5" s="2">
        <v>2</v>
      </c>
      <c r="M5" s="2" t="str">
        <f>B3</f>
        <v>Pa0C115</v>
      </c>
      <c r="N5" s="2" t="str">
        <f>C3</f>
        <v>Máy lạnh Panasonic</v>
      </c>
      <c r="O5" s="2">
        <f>I3</f>
        <v>31000</v>
      </c>
    </row>
    <row r="6" spans="1:15" x14ac:dyDescent="0.35">
      <c r="A6" s="2">
        <v>5</v>
      </c>
      <c r="B6" s="2" t="s">
        <v>107</v>
      </c>
      <c r="C6" s="2" t="str">
        <f t="shared" si="0"/>
        <v>Máy lạnh Hitachi</v>
      </c>
      <c r="D6" s="2" t="str">
        <f t="shared" si="1"/>
        <v>220$</v>
      </c>
      <c r="E6" s="2">
        <f t="shared" si="2"/>
        <v>70</v>
      </c>
      <c r="F6" s="2">
        <f>E6*220</f>
        <v>15400</v>
      </c>
      <c r="G6" s="2">
        <f t="shared" si="3"/>
        <v>230</v>
      </c>
      <c r="H6" s="2">
        <f t="shared" si="4"/>
        <v>30</v>
      </c>
      <c r="I6" s="47">
        <f t="shared" si="5"/>
        <v>6900</v>
      </c>
      <c r="J6" s="2" t="str">
        <f t="shared" si="6"/>
        <v>Bán được</v>
      </c>
    </row>
    <row r="7" spans="1:15" x14ac:dyDescent="0.35">
      <c r="A7" s="2">
        <v>6</v>
      </c>
      <c r="B7" s="2" t="s">
        <v>108</v>
      </c>
      <c r="C7" s="2" t="str">
        <f t="shared" si="0"/>
        <v>Máy lạnh Hitachi</v>
      </c>
      <c r="D7" s="2" t="str">
        <f t="shared" si="1"/>
        <v>220$</v>
      </c>
      <c r="E7" s="2">
        <f t="shared" si="2"/>
        <v>70</v>
      </c>
      <c r="F7" s="2">
        <f>E7*220</f>
        <v>15400</v>
      </c>
      <c r="G7" s="2">
        <f t="shared" si="3"/>
        <v>235</v>
      </c>
      <c r="H7" s="2">
        <f t="shared" si="4"/>
        <v>30</v>
      </c>
      <c r="I7" s="47">
        <f t="shared" si="5"/>
        <v>7050</v>
      </c>
      <c r="J7" s="2" t="str">
        <f t="shared" si="6"/>
        <v>Bán được</v>
      </c>
    </row>
    <row r="8" spans="1:15" x14ac:dyDescent="0.35">
      <c r="A8" s="2">
        <v>7</v>
      </c>
      <c r="B8" s="2" t="s">
        <v>109</v>
      </c>
      <c r="C8" s="2" t="str">
        <f t="shared" si="0"/>
        <v>Máy lạnh Toshiba</v>
      </c>
      <c r="D8" s="2" t="str">
        <f t="shared" si="1"/>
        <v>250$</v>
      </c>
      <c r="E8" s="2">
        <f t="shared" si="2"/>
        <v>90</v>
      </c>
      <c r="F8" s="2">
        <f>E8*250</f>
        <v>22500</v>
      </c>
      <c r="G8" s="2">
        <f t="shared" si="3"/>
        <v>262</v>
      </c>
      <c r="H8" s="2">
        <f t="shared" si="4"/>
        <v>60</v>
      </c>
      <c r="I8" s="47">
        <f t="shared" si="5"/>
        <v>15720</v>
      </c>
      <c r="J8" s="2" t="str">
        <f t="shared" si="6"/>
        <v>Bán được</v>
      </c>
    </row>
    <row r="9" spans="1:15" x14ac:dyDescent="0.35">
      <c r="A9" s="2">
        <v>8</v>
      </c>
      <c r="B9" s="2" t="s">
        <v>105</v>
      </c>
      <c r="C9" s="2" t="str">
        <f>C15</f>
        <v>Máy lạnh Sanyo</v>
      </c>
      <c r="D9" s="2" t="str">
        <f t="shared" si="1"/>
        <v>210$</v>
      </c>
      <c r="E9" s="2">
        <f t="shared" si="2"/>
        <v>126</v>
      </c>
      <c r="F9" s="2">
        <f>E9*210</f>
        <v>26460</v>
      </c>
      <c r="G9" s="2">
        <f>210+12</f>
        <v>222</v>
      </c>
      <c r="H9" s="2">
        <f t="shared" si="4"/>
        <v>85</v>
      </c>
      <c r="I9" s="47">
        <f t="shared" si="5"/>
        <v>18870</v>
      </c>
      <c r="J9" s="2" t="str">
        <f t="shared" si="6"/>
        <v>Bán được</v>
      </c>
    </row>
    <row r="10" spans="1:15" x14ac:dyDescent="0.35">
      <c r="A10" s="69" t="s">
        <v>110</v>
      </c>
      <c r="B10" s="69"/>
      <c r="C10" s="69"/>
      <c r="D10" s="2" t="s">
        <v>124</v>
      </c>
      <c r="E10" s="2">
        <f>SUM(E2:E9)</f>
        <v>832</v>
      </c>
      <c r="F10" s="2">
        <f>E10*1960</f>
        <v>1630720</v>
      </c>
      <c r="G10" s="2">
        <f>SUM(G2:G9)</f>
        <v>2056</v>
      </c>
      <c r="H10" s="2">
        <f>SUM(H2:H9)</f>
        <v>550</v>
      </c>
      <c r="I10" s="47">
        <f>SUM(I2:I9)</f>
        <v>145510</v>
      </c>
      <c r="J10" s="2" t="str">
        <f t="shared" si="6"/>
        <v>Bán chậm</v>
      </c>
    </row>
    <row r="11" spans="1:15" x14ac:dyDescent="0.35">
      <c r="B11" s="70" t="s">
        <v>111</v>
      </c>
      <c r="C11" s="70"/>
      <c r="D11" s="70"/>
      <c r="E11" s="70"/>
      <c r="F11" s="70"/>
    </row>
    <row r="12" spans="1:15" ht="22.25" customHeight="1" x14ac:dyDescent="0.35">
      <c r="B12" s="6" t="s">
        <v>94</v>
      </c>
      <c r="C12" s="6" t="s">
        <v>95</v>
      </c>
      <c r="D12" s="6" t="s">
        <v>96</v>
      </c>
      <c r="E12" s="6" t="s">
        <v>97</v>
      </c>
      <c r="F12" s="6" t="s">
        <v>100</v>
      </c>
    </row>
    <row r="13" spans="1:15" x14ac:dyDescent="0.35">
      <c r="B13" s="2" t="s">
        <v>112</v>
      </c>
      <c r="C13" s="2" t="s">
        <v>116</v>
      </c>
      <c r="D13" s="2" t="s">
        <v>120</v>
      </c>
      <c r="E13" s="2">
        <v>130</v>
      </c>
      <c r="F13" s="2">
        <v>100</v>
      </c>
    </row>
    <row r="14" spans="1:15" x14ac:dyDescent="0.35">
      <c r="B14" s="2" t="s">
        <v>113</v>
      </c>
      <c r="C14" s="2" t="s">
        <v>117</v>
      </c>
      <c r="D14" s="2" t="s">
        <v>121</v>
      </c>
      <c r="E14" s="2">
        <v>90</v>
      </c>
      <c r="F14" s="2">
        <v>60</v>
      </c>
    </row>
    <row r="15" spans="1:15" x14ac:dyDescent="0.35">
      <c r="B15" s="2" t="s">
        <v>115</v>
      </c>
      <c r="C15" s="2" t="s">
        <v>118</v>
      </c>
      <c r="D15" s="2" t="s">
        <v>122</v>
      </c>
      <c r="E15" s="2">
        <v>126</v>
      </c>
      <c r="F15" s="2">
        <v>85</v>
      </c>
    </row>
    <row r="16" spans="1:15" x14ac:dyDescent="0.35">
      <c r="B16" s="2" t="s">
        <v>114</v>
      </c>
      <c r="C16" s="2" t="s">
        <v>119</v>
      </c>
      <c r="D16" s="2" t="s">
        <v>123</v>
      </c>
      <c r="E16" s="2">
        <v>70</v>
      </c>
      <c r="F16" s="2">
        <v>30</v>
      </c>
    </row>
  </sheetData>
  <mergeCells count="3">
    <mergeCell ref="A10:C10"/>
    <mergeCell ref="B11:F11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tính 1</vt:lpstr>
      <vt:lpstr>Bảng tính 2</vt:lpstr>
      <vt:lpstr>Bảng tính 3</vt:lpstr>
      <vt:lpstr>Bảng tính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Trinh</dc:creator>
  <cp:lastModifiedBy>Administrator</cp:lastModifiedBy>
  <dcterms:created xsi:type="dcterms:W3CDTF">2025-12-22T04:11:02Z</dcterms:created>
  <dcterms:modified xsi:type="dcterms:W3CDTF">2025-12-24T13:13:38Z</dcterms:modified>
</cp:coreProperties>
</file>