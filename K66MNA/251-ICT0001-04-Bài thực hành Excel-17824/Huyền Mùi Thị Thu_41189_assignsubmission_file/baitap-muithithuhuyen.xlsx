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<sst xmlns="http://schemas.openxmlformats.org/spreadsheetml/2006/main" count="142" uniqueCount="111">
  <si>
    <t>Bài 1</t>
  </si>
  <si>
    <t>KẾT QUẢ THI CUỐI KHÓA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</si>
  <si>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</si>
  <si>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</si>
  <si>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</si>
  <si>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</si>
  <si>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</si>
  <si>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</si>
  <si>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</si>
  <si>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</si>
  <si>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</si>
  <si>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KHEN THƯỞNG</t>
  </si>
  <si>
    <t>LÂM</t>
  </si>
  <si>
    <t>NAM</t>
  </si>
  <si>
    <t>HẢI</t>
  </si>
  <si>
    <t>HIỆP</t>
  </si>
  <si>
    <t>THẢO</t>
  </si>
  <si>
    <t>NỮ</t>
  </si>
  <si>
    <t>MINH</t>
  </si>
  <si>
    <t xml:space="preserve"> HỒNG </t>
  </si>
  <si>
    <t>LINH</t>
  </si>
  <si>
    <t xml:space="preserve">NAM </t>
  </si>
  <si>
    <t>DIỄM</t>
  </si>
  <si>
    <t xml:space="preserve">NGA </t>
  </si>
  <si>
    <t>KHOA</t>
  </si>
  <si>
    <t>SƠN</t>
  </si>
  <si>
    <t>Bảng tính 2:</t>
  </si>
  <si>
    <t>STT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</si>
  <si>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</si>
  <si>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</si>
  <si>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</si>
  <si>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</si>
  <si>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</si>
  <si>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</si>
  <si>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</si>
  <si>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 xml:space="preserve">Tuấn </t>
  </si>
  <si>
    <t xml:space="preserve">Phạm Hùng </t>
  </si>
  <si>
    <t xml:space="preserve">Cường </t>
  </si>
  <si>
    <t>Lê Ngọc</t>
  </si>
  <si>
    <t>Xuân</t>
  </si>
  <si>
    <t>Phạm thanh</t>
  </si>
  <si>
    <t xml:space="preserve">Long </t>
  </si>
  <si>
    <t>Phạm Hoài</t>
  </si>
  <si>
    <t xml:space="preserve">Nam </t>
  </si>
  <si>
    <t>Lê Thanh</t>
  </si>
  <si>
    <t>Lan</t>
  </si>
  <si>
    <t>Bảng tính 3</t>
  </si>
  <si>
    <t>HỌ VÀ TÊN</t>
  </si>
  <si>
    <t>CHỨC VỤ</t>
  </si>
  <si>
    <t>NGÀY SINH</t>
  </si>
  <si>
    <t>LCB</t>
  </si>
  <si>
    <t>NGÀY</t>
  </si>
  <si>
    <t>TUỔI</t>
  </si>
  <si>
    <t>LƯƠNG</t>
  </si>
  <si>
    <t>THƯỞNG</t>
  </si>
  <si>
    <t>TẠM ỨNG</t>
  </si>
  <si>
    <t>CÒN LẠI</t>
  </si>
  <si>
    <t>Nguyễn Văn Tâm</t>
  </si>
  <si>
    <t>TP</t>
  </si>
  <si>
    <t>Nguyễn Thị Hằng</t>
  </si>
  <si>
    <t>NV</t>
  </si>
  <si>
    <t>Ngô Thị Nga</t>
  </si>
  <si>
    <t>PP</t>
  </si>
  <si>
    <t>Trần Thiên Thu</t>
  </si>
  <si>
    <t xml:space="preserve">Lâm Hoàng Cát </t>
  </si>
  <si>
    <t>KT</t>
  </si>
  <si>
    <t>Lê Hoài Sơn</t>
  </si>
  <si>
    <t>BV</t>
  </si>
  <si>
    <t>Lý Lâm</t>
  </si>
  <si>
    <t>Trần Văn Trung</t>
  </si>
  <si>
    <t>GD</t>
  </si>
  <si>
    <t>Nguyễn Văn Trang</t>
  </si>
  <si>
    <t>Lý Thu Nga</t>
  </si>
  <si>
    <t>Nguyễn Văn Hùng</t>
  </si>
  <si>
    <t>Trần Thị Phượng</t>
  </si>
  <si>
    <t>Võ Tấn Thành</t>
  </si>
  <si>
    <t>PGD</t>
  </si>
  <si>
    <t>lê Văn Minh</t>
  </si>
  <si>
    <t>Doãn Hòa</t>
  </si>
  <si>
    <t>TỔNG CỘNG</t>
  </si>
  <si>
    <t xml:space="preserve">BÌNH QUÂN </t>
  </si>
  <si>
    <t>CAO NHẤT</t>
  </si>
  <si>
    <t>THẤP NHẤT</t>
  </si>
  <si>
    <t>Bảng tính 4</t>
  </si>
  <si>
    <t>MÃ HÀNG</t>
  </si>
  <si>
    <t>TÊN HÀNG</t>
  </si>
  <si>
    <t>GIÁ NHÂP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</si>
  <si>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</si>
  <si>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</si>
  <si>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</si>
  <si>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</si>
  <si>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</si>
  <si>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</si>
  <si>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</si>
  <si>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</si>
  <si>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</si>
  <si>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</si>
  <si>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</si>
  <si>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To0B12</t>
  </si>
  <si>
    <t>Sa0b2</t>
  </si>
  <si>
    <t>Bảng tra dữ liệu các loại máy tính:</t>
  </si>
  <si>
    <t>GIÁ NHẬP</t>
  </si>
  <si>
    <t>SL N HẬP</t>
  </si>
  <si>
    <t>Pa</t>
  </si>
  <si>
    <t>Máy lạnh Panasonic</t>
  </si>
  <si>
    <t>To</t>
  </si>
  <si>
    <t>Máy lạnh toshiba</t>
  </si>
  <si>
    <t>Sa</t>
  </si>
  <si>
    <t>Máy lạnh Sanyo</t>
  </si>
  <si>
    <t>Hi</t>
  </si>
  <si>
    <t>Máy lạnh Hitachi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</si>
</sst>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8" fontId="0" fillId="0" borderId="1" xfId="1" applyNumberFormat="1" applyBorder="1" applyAlignment="1">
      <alignment horizontal="center" vertical="center"/>
    </xf>
    <xf numFmtId="176" fontId="0" fillId="0" borderId="1" xfId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415925</xdr:colOff>
      <xdr:row>16</xdr:row>
      <xdr:rowOff>17780</xdr:rowOff>
    </xdr:from>
    <xdr:ext cx="4523105" cy="1268730"/>
    <xdr:sp>
      <xdr:nvSpPr>
        <xdr:cNvPr id="2" name="Rectangles 1"/>
        <xdr:cNvSpPr/>
      </xdr:nvSpPr>
      <xdr:spPr>
        <a:xfrm flipH="1">
          <a:off x="5485130" y="3027680"/>
          <a:ext cx="4523105" cy="1268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endParaRPr lang="en-US" altLang="zh-CN" sz="7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71" zoomScaleNormal="71" workbookViewId="0">
      <selection activeCell="L4" sqref="L4"/>
    </sheetView>
  </sheetViews>
  <sheetFormatPr defaultColWidth="8.72727272727273" defaultRowHeight="14.5"/>
  <cols>
    <col min="6" max="6" width="8.18181818181818" customWidth="1"/>
    <col min="7" max="7" width="12.0272727272727" customWidth="1"/>
    <col min="10" max="10" width="10.6181818181818" customWidth="1"/>
    <col min="11" max="11" width="17.2818181818182" customWidth="1"/>
  </cols>
  <sheetData>
    <row r="1" ht="16" customHeight="1" spans="1:1">
      <c r="A1" t="s">
        <v>0</v>
      </c>
    </row>
    <row r="2" ht="18" customHeight="1" spans="1:11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5"/>
    </row>
    <row r="3" spans="1:11">
      <c r="A3" s="11"/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</row>
    <row r="4" spans="1:11">
      <c r="A4" s="13">
        <v>1</v>
      </c>
      <c r="B4" s="14" t="s">
        <v>12</v>
      </c>
      <c r="C4" s="14" t="s">
        <v>13</v>
      </c>
      <c r="D4" s="13">
        <v>1988</v>
      </c>
      <c r="E4" s="13">
        <v>10</v>
      </c>
      <c r="F4" s="13">
        <v>8</v>
      </c>
      <c r="G4" s="13">
        <v>9</v>
      </c>
      <c r="H4" s="13">
        <f>AVERAGE(E4*2+F4*2+G4)/5</f>
        <v>9</v>
      </c>
      <c r="I4" s="14" t="str">
        <f>IF(H4&gt;=5,"Đạt","Rớt")</f>
        <v>Đạt</v>
      </c>
      <c r="J4" s="13">
        <f>RANK(H4,$H$4:H15,0)</f>
        <v>1</v>
      </c>
      <c r="K4" s="13">
        <f>IF(J4=1,200000,IF(J4=2,100000,0))</f>
        <v>200000</v>
      </c>
    </row>
    <row r="5" spans="1:11">
      <c r="A5" s="13">
        <v>2</v>
      </c>
      <c r="B5" s="14" t="s">
        <v>14</v>
      </c>
      <c r="C5" s="14" t="s">
        <v>13</v>
      </c>
      <c r="D5" s="13">
        <v>1987</v>
      </c>
      <c r="E5" s="13">
        <v>8</v>
      </c>
      <c r="F5" s="13">
        <v>8.5</v>
      </c>
      <c r="G5" s="13">
        <v>9</v>
      </c>
      <c r="H5" s="13">
        <f t="shared" ref="H5:H15" si="0">AVERAGE(E5*2+F5*2+G5)/5</f>
        <v>8.4</v>
      </c>
      <c r="I5" s="14" t="str">
        <f t="shared" ref="I5:I15" si="1">IF(H5&gt;=5,"Đạt","Rớt")</f>
        <v>Đạt</v>
      </c>
      <c r="J5" s="13">
        <f>RANK(H5,$H$4:H16,0)</f>
        <v>2</v>
      </c>
      <c r="K5" s="13">
        <f t="shared" ref="K5:K15" si="2">IF(J5=1,200000,IF(J5=2,100000,0))</f>
        <v>100000</v>
      </c>
    </row>
    <row r="6" spans="1:11">
      <c r="A6" s="13">
        <v>3</v>
      </c>
      <c r="B6" s="14" t="s">
        <v>15</v>
      </c>
      <c r="C6" s="14" t="s">
        <v>13</v>
      </c>
      <c r="D6" s="13">
        <v>1986</v>
      </c>
      <c r="E6" s="13">
        <v>9</v>
      </c>
      <c r="F6" s="13">
        <v>8</v>
      </c>
      <c r="G6" s="13">
        <v>7</v>
      </c>
      <c r="H6" s="13">
        <f t="shared" si="0"/>
        <v>8.2</v>
      </c>
      <c r="I6" s="14" t="str">
        <f t="shared" si="1"/>
        <v>Đạt</v>
      </c>
      <c r="J6" s="13">
        <f>RANK(H6,$H$4:H17,0)</f>
        <v>3</v>
      </c>
      <c r="K6" s="13">
        <f t="shared" si="2"/>
        <v>0</v>
      </c>
    </row>
    <row r="7" spans="1:11">
      <c r="A7" s="13">
        <v>4</v>
      </c>
      <c r="B7" s="14" t="s">
        <v>16</v>
      </c>
      <c r="C7" s="14" t="s">
        <v>17</v>
      </c>
      <c r="D7" s="13">
        <v>1988</v>
      </c>
      <c r="E7" s="13">
        <v>10</v>
      </c>
      <c r="F7" s="13">
        <v>4</v>
      </c>
      <c r="G7" s="13">
        <v>7</v>
      </c>
      <c r="H7" s="13">
        <f t="shared" si="0"/>
        <v>7</v>
      </c>
      <c r="I7" s="14" t="str">
        <f t="shared" si="1"/>
        <v>Đạt</v>
      </c>
      <c r="J7" s="13">
        <f>RANK(H7,$H$4:H18,0)</f>
        <v>4</v>
      </c>
      <c r="K7" s="13">
        <f t="shared" si="2"/>
        <v>0</v>
      </c>
    </row>
    <row r="8" spans="1:11">
      <c r="A8" s="13">
        <v>5</v>
      </c>
      <c r="B8" s="14" t="s">
        <v>18</v>
      </c>
      <c r="C8" s="14" t="s">
        <v>13</v>
      </c>
      <c r="D8" s="13">
        <v>1988</v>
      </c>
      <c r="E8" s="13">
        <v>9</v>
      </c>
      <c r="F8" s="13">
        <v>5</v>
      </c>
      <c r="G8" s="13">
        <v>6</v>
      </c>
      <c r="H8" s="13">
        <f t="shared" si="0"/>
        <v>6.8</v>
      </c>
      <c r="I8" s="14" t="str">
        <f t="shared" si="1"/>
        <v>Đạt</v>
      </c>
      <c r="J8" s="13">
        <f>RANK(H8,$H$4:H19,0)</f>
        <v>5</v>
      </c>
      <c r="K8" s="13">
        <f t="shared" si="2"/>
        <v>0</v>
      </c>
    </row>
    <row r="9" spans="1:11">
      <c r="A9" s="13">
        <v>6</v>
      </c>
      <c r="B9" s="14" t="s">
        <v>19</v>
      </c>
      <c r="C9" s="14" t="s">
        <v>17</v>
      </c>
      <c r="D9" s="13">
        <v>1987</v>
      </c>
      <c r="E9" s="13">
        <v>6</v>
      </c>
      <c r="F9" s="13">
        <v>6</v>
      </c>
      <c r="G9" s="13">
        <v>8</v>
      </c>
      <c r="H9" s="13">
        <f t="shared" si="0"/>
        <v>6.4</v>
      </c>
      <c r="I9" s="14" t="str">
        <f t="shared" si="1"/>
        <v>Đạt</v>
      </c>
      <c r="J9" s="13">
        <f>RANK(H9,$H$4:H20,0)</f>
        <v>6</v>
      </c>
      <c r="K9" s="13">
        <f t="shared" si="2"/>
        <v>0</v>
      </c>
    </row>
    <row r="10" spans="1:11">
      <c r="A10" s="13">
        <v>7</v>
      </c>
      <c r="B10" s="14" t="s">
        <v>20</v>
      </c>
      <c r="C10" s="14" t="s">
        <v>13</v>
      </c>
      <c r="D10" s="13">
        <v>1986</v>
      </c>
      <c r="E10" s="13">
        <v>7.5</v>
      </c>
      <c r="F10" s="13">
        <v>5</v>
      </c>
      <c r="G10" s="13">
        <v>6</v>
      </c>
      <c r="H10" s="13">
        <f t="shared" si="0"/>
        <v>6.2</v>
      </c>
      <c r="I10" s="14" t="str">
        <f t="shared" si="1"/>
        <v>Đạt</v>
      </c>
      <c r="J10" s="13">
        <f>RANK(H10,$H$4:H21,0)</f>
        <v>7</v>
      </c>
      <c r="K10" s="13">
        <f t="shared" si="2"/>
        <v>0</v>
      </c>
    </row>
    <row r="11" spans="1:11">
      <c r="A11" s="13">
        <v>8</v>
      </c>
      <c r="B11" s="14" t="s">
        <v>21</v>
      </c>
      <c r="C11" s="14" t="s">
        <v>13</v>
      </c>
      <c r="D11" s="13">
        <v>1988</v>
      </c>
      <c r="E11" s="13">
        <v>3</v>
      </c>
      <c r="F11" s="13">
        <v>9</v>
      </c>
      <c r="G11" s="13">
        <v>7</v>
      </c>
      <c r="H11" s="13">
        <f t="shared" si="0"/>
        <v>6.2</v>
      </c>
      <c r="I11" s="14" t="str">
        <f t="shared" si="1"/>
        <v>Đạt</v>
      </c>
      <c r="J11" s="13">
        <f>RANK(H11,$H$4:H22,0)</f>
        <v>7</v>
      </c>
      <c r="K11" s="13">
        <f t="shared" si="2"/>
        <v>0</v>
      </c>
    </row>
    <row r="12" spans="1:11">
      <c r="A12" s="13">
        <v>9</v>
      </c>
      <c r="B12" s="14" t="s">
        <v>22</v>
      </c>
      <c r="C12" s="14" t="s">
        <v>17</v>
      </c>
      <c r="D12" s="13">
        <v>1988</v>
      </c>
      <c r="E12" s="13">
        <v>4</v>
      </c>
      <c r="F12" s="13">
        <v>5</v>
      </c>
      <c r="G12" s="13">
        <v>5.5</v>
      </c>
      <c r="H12" s="13">
        <f t="shared" si="0"/>
        <v>4.7</v>
      </c>
      <c r="I12" s="14" t="str">
        <f t="shared" si="1"/>
        <v>Rớt</v>
      </c>
      <c r="J12" s="13">
        <f>RANK(H12,$H$4:H23,0)</f>
        <v>10</v>
      </c>
      <c r="K12" s="13">
        <f t="shared" si="2"/>
        <v>0</v>
      </c>
    </row>
    <row r="13" spans="1:11">
      <c r="A13" s="13">
        <v>10</v>
      </c>
      <c r="B13" s="14" t="s">
        <v>23</v>
      </c>
      <c r="C13" s="14" t="s">
        <v>17</v>
      </c>
      <c r="D13" s="13">
        <v>1988</v>
      </c>
      <c r="E13" s="13">
        <v>4.5</v>
      </c>
      <c r="F13" s="13">
        <v>6</v>
      </c>
      <c r="G13" s="13">
        <v>4</v>
      </c>
      <c r="H13" s="13">
        <f t="shared" si="0"/>
        <v>5</v>
      </c>
      <c r="I13" s="14" t="str">
        <f t="shared" si="1"/>
        <v>Đạt</v>
      </c>
      <c r="J13" s="13">
        <f>RANK(H13,$H$4:H24,0)</f>
        <v>9</v>
      </c>
      <c r="K13" s="13">
        <f t="shared" si="2"/>
        <v>0</v>
      </c>
    </row>
    <row r="14" spans="1:11">
      <c r="A14" s="13">
        <v>11</v>
      </c>
      <c r="B14" s="14" t="s">
        <v>24</v>
      </c>
      <c r="C14" s="14" t="s">
        <v>13</v>
      </c>
      <c r="D14" s="13">
        <v>1987</v>
      </c>
      <c r="E14" s="13">
        <v>3</v>
      </c>
      <c r="F14" s="13">
        <v>5</v>
      </c>
      <c r="G14" s="13">
        <v>5</v>
      </c>
      <c r="H14" s="13">
        <f t="shared" si="0"/>
        <v>4.2</v>
      </c>
      <c r="I14" s="14" t="str">
        <f t="shared" si="1"/>
        <v>Rớt</v>
      </c>
      <c r="J14" s="13">
        <f>RANK(H14,$H$4:H25,0)</f>
        <v>11</v>
      </c>
      <c r="K14" s="13">
        <f t="shared" si="2"/>
        <v>0</v>
      </c>
    </row>
    <row r="15" spans="1:11">
      <c r="A15" s="13">
        <v>12</v>
      </c>
      <c r="B15" s="14" t="s">
        <v>25</v>
      </c>
      <c r="C15" s="14" t="s">
        <v>13</v>
      </c>
      <c r="D15" s="13">
        <v>1986</v>
      </c>
      <c r="E15" s="13">
        <v>4</v>
      </c>
      <c r="F15" s="13">
        <v>3</v>
      </c>
      <c r="G15" s="13">
        <v>5</v>
      </c>
      <c r="H15" s="13">
        <f t="shared" si="0"/>
        <v>3.8</v>
      </c>
      <c r="I15" s="14" t="str">
        <f t="shared" si="1"/>
        <v>Rớt</v>
      </c>
      <c r="J15" s="13">
        <f>RANK(H15,$H$4:H26,0)</f>
        <v>12</v>
      </c>
      <c r="K15" s="13">
        <f t="shared" si="2"/>
        <v>0</v>
      </c>
    </row>
  </sheetData>
  <mergeCells count="1">
    <mergeCell ref="A2:K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6" sqref="F6"/>
    </sheetView>
  </sheetViews>
  <sheetFormatPr defaultColWidth="8.72727272727273" defaultRowHeight="14.5" outlineLevelCol="7"/>
  <cols>
    <col min="2" max="2" width="10.3636363636364" customWidth="1"/>
    <col min="5" max="5" width="10.8181818181818" customWidth="1"/>
    <col min="6" max="6" width="11.8181818181818" customWidth="1"/>
    <col min="7" max="7" width="9.81818181818182" customWidth="1"/>
    <col min="8" max="8" width="10.5454545454545" customWidth="1"/>
  </cols>
  <sheetData>
    <row r="1" spans="1:1">
      <c r="A1" t="s">
        <v>26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 t="s">
        <v>27</v>
      </c>
      <c r="B3" s="2" t="s">
        <v>28</v>
      </c>
      <c r="C3" s="2" t="s">
        <v>29</v>
      </c>
      <c r="D3" s="2" t="s">
        <v>3</v>
      </c>
      <c r="E3" s="2" t="s">
        <v>30</v>
      </c>
      <c r="F3" s="2" t="s">
        <v>31</v>
      </c>
      <c r="G3" s="2" t="s">
        <v>32</v>
      </c>
      <c r="H3" s="2" t="s">
        <v>33</v>
      </c>
    </row>
    <row r="4" spans="1:8">
      <c r="A4" s="2">
        <v>1</v>
      </c>
      <c r="B4" s="2" t="s">
        <v>34</v>
      </c>
      <c r="C4" s="2" t="s">
        <v>35</v>
      </c>
      <c r="D4" s="2" t="s">
        <v>13</v>
      </c>
      <c r="E4" s="2">
        <v>25</v>
      </c>
      <c r="F4" s="2"/>
      <c r="G4" s="2">
        <v>300000</v>
      </c>
      <c r="H4" s="2"/>
    </row>
    <row r="5" spans="1:8">
      <c r="A5" s="2">
        <v>2</v>
      </c>
      <c r="B5" s="2" t="s">
        <v>36</v>
      </c>
      <c r="C5" s="2" t="s">
        <v>37</v>
      </c>
      <c r="D5" s="2" t="s">
        <v>13</v>
      </c>
      <c r="E5" s="2">
        <v>24</v>
      </c>
      <c r="F5" s="2"/>
      <c r="G5" s="2">
        <v>300000</v>
      </c>
      <c r="H5" s="2"/>
    </row>
    <row r="6" spans="1:8">
      <c r="A6" s="2">
        <v>3</v>
      </c>
      <c r="B6" s="2" t="s">
        <v>38</v>
      </c>
      <c r="C6" s="2" t="s">
        <v>39</v>
      </c>
      <c r="D6" s="2" t="s">
        <v>17</v>
      </c>
      <c r="E6" s="2">
        <v>26</v>
      </c>
      <c r="F6" s="2">
        <v>200000</v>
      </c>
      <c r="G6" s="2">
        <v>300000</v>
      </c>
      <c r="H6" s="2">
        <v>100000</v>
      </c>
    </row>
    <row r="7" spans="1:8">
      <c r="A7" s="2">
        <v>4</v>
      </c>
      <c r="B7" s="2" t="s">
        <v>40</v>
      </c>
      <c r="C7" s="2" t="s">
        <v>41</v>
      </c>
      <c r="D7" s="2" t="s">
        <v>17</v>
      </c>
      <c r="E7" s="2">
        <v>22</v>
      </c>
      <c r="F7" s="2">
        <v>200000</v>
      </c>
      <c r="G7" s="2"/>
      <c r="H7" s="2"/>
    </row>
    <row r="8" spans="1:8">
      <c r="A8" s="2">
        <v>5</v>
      </c>
      <c r="B8" s="2" t="s">
        <v>42</v>
      </c>
      <c r="C8" s="2" t="s">
        <v>43</v>
      </c>
      <c r="D8" s="2" t="s">
        <v>13</v>
      </c>
      <c r="E8" s="2">
        <v>27</v>
      </c>
      <c r="F8" s="2"/>
      <c r="G8" s="2">
        <v>300000</v>
      </c>
      <c r="H8" s="2">
        <v>100000</v>
      </c>
    </row>
    <row r="9" spans="1:8">
      <c r="A9" s="2">
        <v>6</v>
      </c>
      <c r="B9" s="2" t="s">
        <v>44</v>
      </c>
      <c r="C9" s="2" t="s">
        <v>45</v>
      </c>
      <c r="D9" s="2" t="s">
        <v>17</v>
      </c>
      <c r="E9" s="2">
        <v>25</v>
      </c>
      <c r="F9" s="2">
        <v>200000</v>
      </c>
      <c r="G9" s="2">
        <v>300000</v>
      </c>
      <c r="H9" s="2">
        <v>100000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E12" sqref="E12"/>
    </sheetView>
  </sheetViews>
  <sheetFormatPr defaultColWidth="8.72727272727273" defaultRowHeight="14.5"/>
  <cols>
    <col min="2" max="2" width="15.3636363636364" customWidth="1"/>
    <col min="4" max="4" width="10.5454545454545" customWidth="1"/>
    <col min="5" max="5" width="11.6363636363636"/>
    <col min="8" max="8" width="12.8181818181818"/>
    <col min="10" max="10" width="9.54545454545454" customWidth="1"/>
  </cols>
  <sheetData>
    <row r="1" spans="1:12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12">
      <c r="A2" s="2" t="s">
        <v>27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1"/>
    </row>
    <row r="3" spans="1:12">
      <c r="A3" s="2">
        <v>1</v>
      </c>
      <c r="B3" s="2" t="s">
        <v>57</v>
      </c>
      <c r="C3" s="2" t="s">
        <v>58</v>
      </c>
      <c r="D3" s="6">
        <v>24524</v>
      </c>
      <c r="E3" s="7">
        <v>120000</v>
      </c>
      <c r="F3" s="2">
        <v>25</v>
      </c>
      <c r="G3" s="3">
        <f ca="1">YEAR(TODAY()-D3)</f>
        <v>1958</v>
      </c>
      <c r="H3" s="2">
        <f>E3*F3</f>
        <v>3000000</v>
      </c>
      <c r="I3" s="2">
        <v>300000</v>
      </c>
      <c r="J3" s="2">
        <f>80%*H3</f>
        <v>2400000</v>
      </c>
      <c r="K3" s="2">
        <f>H3+I3-J3</f>
        <v>900000</v>
      </c>
      <c r="L3" s="1"/>
    </row>
    <row r="4" spans="1:12">
      <c r="A4" s="2">
        <v>2</v>
      </c>
      <c r="B4" s="2" t="s">
        <v>59</v>
      </c>
      <c r="C4" s="2" t="s">
        <v>60</v>
      </c>
      <c r="D4" s="6">
        <v>27659</v>
      </c>
      <c r="E4" s="8">
        <v>160000</v>
      </c>
      <c r="F4" s="2">
        <v>24</v>
      </c>
      <c r="G4" s="3">
        <f ca="1" t="shared" ref="G4:G17" si="0">YEAR(TODAY()-D4)</f>
        <v>1950</v>
      </c>
      <c r="H4" s="2">
        <f t="shared" ref="H4:H17" si="1">E4*F4</f>
        <v>3840000</v>
      </c>
      <c r="I4" s="2">
        <v>100000</v>
      </c>
      <c r="J4" s="2">
        <f t="shared" ref="J4:J17" si="2">80%*H4</f>
        <v>3072000</v>
      </c>
      <c r="K4" s="2">
        <f t="shared" ref="K4:K17" si="3">H4+I4-J4</f>
        <v>868000</v>
      </c>
      <c r="L4" s="1"/>
    </row>
    <row r="5" spans="1:12">
      <c r="A5" s="2">
        <v>3</v>
      </c>
      <c r="B5" s="2" t="s">
        <v>61</v>
      </c>
      <c r="C5" s="2" t="s">
        <v>62</v>
      </c>
      <c r="D5" s="6">
        <v>24972</v>
      </c>
      <c r="E5" s="8">
        <v>150000</v>
      </c>
      <c r="F5" s="2">
        <v>26</v>
      </c>
      <c r="G5" s="3">
        <f ca="1" t="shared" si="0"/>
        <v>1957</v>
      </c>
      <c r="H5" s="2">
        <f t="shared" si="1"/>
        <v>3900000</v>
      </c>
      <c r="I5" s="2">
        <v>200000</v>
      </c>
      <c r="J5" s="2">
        <f t="shared" si="2"/>
        <v>3120000</v>
      </c>
      <c r="K5" s="2">
        <f t="shared" si="3"/>
        <v>980000</v>
      </c>
      <c r="L5" s="1"/>
    </row>
    <row r="6" spans="1:12">
      <c r="A6" s="2">
        <v>4</v>
      </c>
      <c r="B6" s="2" t="s">
        <v>63</v>
      </c>
      <c r="C6" s="2" t="s">
        <v>60</v>
      </c>
      <c r="D6" s="6">
        <v>21231</v>
      </c>
      <c r="E6" s="8">
        <v>130000</v>
      </c>
      <c r="F6" s="2">
        <v>20</v>
      </c>
      <c r="G6" s="3">
        <f ca="1" t="shared" si="0"/>
        <v>1967</v>
      </c>
      <c r="H6" s="2">
        <f t="shared" si="1"/>
        <v>2600000</v>
      </c>
      <c r="I6" s="2">
        <v>100000</v>
      </c>
      <c r="J6" s="2">
        <f t="shared" si="2"/>
        <v>2080000</v>
      </c>
      <c r="K6" s="2">
        <f t="shared" si="3"/>
        <v>620000</v>
      </c>
      <c r="L6" s="1"/>
    </row>
    <row r="7" spans="1:12">
      <c r="A7" s="2">
        <v>5</v>
      </c>
      <c r="B7" s="2" t="s">
        <v>64</v>
      </c>
      <c r="C7" s="2" t="s">
        <v>65</v>
      </c>
      <c r="D7" s="6">
        <v>28728</v>
      </c>
      <c r="E7" s="8">
        <v>180000</v>
      </c>
      <c r="F7" s="2">
        <v>23</v>
      </c>
      <c r="G7" s="3">
        <f ca="1" t="shared" si="0"/>
        <v>1947</v>
      </c>
      <c r="H7" s="2">
        <f t="shared" si="1"/>
        <v>4140000</v>
      </c>
      <c r="I7" s="2">
        <v>100000</v>
      </c>
      <c r="J7" s="2">
        <f t="shared" si="2"/>
        <v>3312000</v>
      </c>
      <c r="K7" s="2">
        <f t="shared" si="3"/>
        <v>928000</v>
      </c>
      <c r="L7" s="1"/>
    </row>
    <row r="8" spans="1:12">
      <c r="A8" s="2">
        <v>6</v>
      </c>
      <c r="B8" s="2" t="s">
        <v>66</v>
      </c>
      <c r="C8" s="2" t="s">
        <v>67</v>
      </c>
      <c r="D8" s="6">
        <v>25432</v>
      </c>
      <c r="E8" s="8">
        <v>150000</v>
      </c>
      <c r="F8" s="2">
        <v>24</v>
      </c>
      <c r="G8" s="3">
        <f ca="1" t="shared" si="0"/>
        <v>1956</v>
      </c>
      <c r="H8" s="2">
        <f t="shared" si="1"/>
        <v>3600000</v>
      </c>
      <c r="I8" s="2">
        <v>100000</v>
      </c>
      <c r="J8" s="2">
        <f t="shared" si="2"/>
        <v>2880000</v>
      </c>
      <c r="K8" s="2">
        <f t="shared" si="3"/>
        <v>820000</v>
      </c>
      <c r="L8" s="1"/>
    </row>
    <row r="9" spans="1:12">
      <c r="A9" s="2">
        <v>7</v>
      </c>
      <c r="B9" s="2" t="s">
        <v>68</v>
      </c>
      <c r="C9" s="2" t="s">
        <v>62</v>
      </c>
      <c r="D9" s="6">
        <v>25430</v>
      </c>
      <c r="E9" s="8">
        <v>140000</v>
      </c>
      <c r="F9" s="2">
        <v>27</v>
      </c>
      <c r="G9" s="3">
        <f ca="1" t="shared" si="0"/>
        <v>1956</v>
      </c>
      <c r="H9" s="2">
        <f t="shared" si="1"/>
        <v>3780000</v>
      </c>
      <c r="I9" s="2">
        <v>300000</v>
      </c>
      <c r="J9" s="2">
        <f t="shared" si="2"/>
        <v>3024000</v>
      </c>
      <c r="K9" s="2">
        <f t="shared" si="3"/>
        <v>1056000</v>
      </c>
      <c r="L9" s="1"/>
    </row>
    <row r="10" spans="1:12">
      <c r="A10" s="2">
        <v>8</v>
      </c>
      <c r="B10" s="2" t="s">
        <v>69</v>
      </c>
      <c r="C10" s="2" t="s">
        <v>70</v>
      </c>
      <c r="D10" s="6">
        <v>20648</v>
      </c>
      <c r="E10" s="8">
        <v>160000</v>
      </c>
      <c r="F10" s="2">
        <v>14</v>
      </c>
      <c r="G10" s="3">
        <f ca="1" t="shared" si="0"/>
        <v>1969</v>
      </c>
      <c r="H10" s="2">
        <f t="shared" si="1"/>
        <v>2240000</v>
      </c>
      <c r="I10" s="2">
        <v>500000</v>
      </c>
      <c r="J10" s="2">
        <f t="shared" si="2"/>
        <v>1792000</v>
      </c>
      <c r="K10" s="2">
        <f t="shared" si="3"/>
        <v>948000</v>
      </c>
      <c r="L10" s="1"/>
    </row>
    <row r="11" spans="1:12">
      <c r="A11" s="2">
        <v>9</v>
      </c>
      <c r="B11" s="2" t="s">
        <v>71</v>
      </c>
      <c r="C11" s="2" t="s">
        <v>67</v>
      </c>
      <c r="D11" s="6">
        <v>22046</v>
      </c>
      <c r="E11" s="8">
        <v>150000</v>
      </c>
      <c r="F11" s="2">
        <v>17</v>
      </c>
      <c r="G11" s="3">
        <f ca="1" t="shared" si="0"/>
        <v>1965</v>
      </c>
      <c r="H11" s="2">
        <f t="shared" si="1"/>
        <v>2550000</v>
      </c>
      <c r="I11" s="2">
        <v>100000</v>
      </c>
      <c r="J11" s="2">
        <f t="shared" si="2"/>
        <v>2040000</v>
      </c>
      <c r="K11" s="2">
        <f t="shared" si="3"/>
        <v>610000</v>
      </c>
      <c r="L11" s="1"/>
    </row>
    <row r="12" spans="1:12">
      <c r="A12" s="2">
        <v>10</v>
      </c>
      <c r="B12" s="2" t="s">
        <v>72</v>
      </c>
      <c r="C12" s="2" t="s">
        <v>60</v>
      </c>
      <c r="D12" s="6">
        <v>23512</v>
      </c>
      <c r="E12" s="8">
        <v>130000</v>
      </c>
      <c r="F12" s="2">
        <v>23</v>
      </c>
      <c r="G12" s="3">
        <f ca="1" t="shared" si="0"/>
        <v>1961</v>
      </c>
      <c r="H12" s="2">
        <f t="shared" si="1"/>
        <v>2990000</v>
      </c>
      <c r="I12" s="2">
        <v>100000</v>
      </c>
      <c r="J12" s="2">
        <f t="shared" si="2"/>
        <v>2392000</v>
      </c>
      <c r="K12" s="2">
        <f t="shared" si="3"/>
        <v>698000</v>
      </c>
      <c r="L12" s="1"/>
    </row>
    <row r="13" spans="1:12">
      <c r="A13" s="2">
        <v>11</v>
      </c>
      <c r="B13" s="2" t="s">
        <v>73</v>
      </c>
      <c r="C13" s="2" t="s">
        <v>58</v>
      </c>
      <c r="D13" s="6">
        <v>24731</v>
      </c>
      <c r="E13" s="8">
        <v>180000</v>
      </c>
      <c r="F13" s="2">
        <v>22</v>
      </c>
      <c r="G13" s="3">
        <f ca="1" t="shared" si="0"/>
        <v>1958</v>
      </c>
      <c r="H13" s="2">
        <f t="shared" si="1"/>
        <v>3960000</v>
      </c>
      <c r="I13" s="2">
        <v>300000</v>
      </c>
      <c r="J13" s="2">
        <f t="shared" si="2"/>
        <v>3168000</v>
      </c>
      <c r="K13" s="2">
        <f t="shared" si="3"/>
        <v>1092000</v>
      </c>
      <c r="L13" s="1"/>
    </row>
    <row r="14" spans="1:12">
      <c r="A14" s="2">
        <v>12</v>
      </c>
      <c r="B14" s="2" t="s">
        <v>74</v>
      </c>
      <c r="C14" s="2" t="s">
        <v>60</v>
      </c>
      <c r="D14" s="6">
        <v>25465</v>
      </c>
      <c r="E14" s="8">
        <v>150000</v>
      </c>
      <c r="F14" s="2">
        <v>14</v>
      </c>
      <c r="G14" s="3">
        <f ca="1" t="shared" si="0"/>
        <v>1956</v>
      </c>
      <c r="H14" s="2">
        <f t="shared" si="1"/>
        <v>2100000</v>
      </c>
      <c r="I14" s="2">
        <v>100000</v>
      </c>
      <c r="J14" s="2">
        <f t="shared" si="2"/>
        <v>1680000</v>
      </c>
      <c r="K14" s="2">
        <f t="shared" si="3"/>
        <v>520000</v>
      </c>
      <c r="L14" s="1"/>
    </row>
    <row r="15" spans="1:12">
      <c r="A15" s="2">
        <v>13</v>
      </c>
      <c r="B15" s="2" t="s">
        <v>75</v>
      </c>
      <c r="C15" s="2" t="s">
        <v>76</v>
      </c>
      <c r="D15" s="6">
        <v>21467</v>
      </c>
      <c r="E15" s="8">
        <v>180000</v>
      </c>
      <c r="F15" s="2">
        <v>23</v>
      </c>
      <c r="G15" s="3">
        <f ca="1" t="shared" si="0"/>
        <v>1967</v>
      </c>
      <c r="H15" s="2">
        <f t="shared" si="1"/>
        <v>4140000</v>
      </c>
      <c r="I15" s="2">
        <v>400000</v>
      </c>
      <c r="J15" s="2">
        <f t="shared" si="2"/>
        <v>3312000</v>
      </c>
      <c r="K15" s="2">
        <f t="shared" si="3"/>
        <v>1228000</v>
      </c>
      <c r="L15" s="1"/>
    </row>
    <row r="16" spans="1:12">
      <c r="A16" s="2">
        <v>14</v>
      </c>
      <c r="B16" s="2" t="s">
        <v>77</v>
      </c>
      <c r="C16" s="2" t="s">
        <v>58</v>
      </c>
      <c r="D16" s="6">
        <v>19976</v>
      </c>
      <c r="E16" s="8">
        <v>160000</v>
      </c>
      <c r="F16" s="2">
        <v>27</v>
      </c>
      <c r="G16" s="3">
        <f ca="1" t="shared" si="0"/>
        <v>1971</v>
      </c>
      <c r="H16" s="2">
        <f t="shared" si="1"/>
        <v>4320000</v>
      </c>
      <c r="I16" s="2">
        <v>300000</v>
      </c>
      <c r="J16" s="2">
        <f t="shared" si="2"/>
        <v>3456000</v>
      </c>
      <c r="K16" s="2">
        <f t="shared" si="3"/>
        <v>1164000</v>
      </c>
      <c r="L16" s="1"/>
    </row>
    <row r="17" spans="1:12">
      <c r="A17" s="2">
        <v>15</v>
      </c>
      <c r="B17" s="2" t="s">
        <v>78</v>
      </c>
      <c r="C17" s="2" t="s">
        <v>67</v>
      </c>
      <c r="D17" s="6">
        <v>25439</v>
      </c>
      <c r="E17" s="8">
        <v>130000</v>
      </c>
      <c r="F17" s="2">
        <v>26</v>
      </c>
      <c r="G17" s="3">
        <f ca="1" t="shared" si="0"/>
        <v>1956</v>
      </c>
      <c r="H17" s="2">
        <f t="shared" si="1"/>
        <v>3380000</v>
      </c>
      <c r="I17" s="2">
        <v>100000</v>
      </c>
      <c r="J17" s="2">
        <f t="shared" si="2"/>
        <v>2704000</v>
      </c>
      <c r="K17" s="2">
        <f t="shared" si="3"/>
        <v>776000</v>
      </c>
      <c r="L17" s="1"/>
    </row>
    <row r="18" spans="1:12">
      <c r="A18" s="2"/>
      <c r="B18" s="2"/>
      <c r="C18" s="2" t="s">
        <v>79</v>
      </c>
      <c r="D18" s="2"/>
      <c r="E18" s="2"/>
      <c r="F18" s="2"/>
      <c r="G18" s="2"/>
      <c r="H18" s="3">
        <f>SUM(H3:H17)</f>
        <v>50540000</v>
      </c>
      <c r="I18" s="2"/>
      <c r="J18" s="2"/>
      <c r="K18" s="2"/>
      <c r="L18" s="1"/>
    </row>
    <row r="19" spans="1:12">
      <c r="A19" s="2"/>
      <c r="B19" s="2"/>
      <c r="C19" s="2" t="s">
        <v>80</v>
      </c>
      <c r="D19" s="2"/>
      <c r="E19" s="2"/>
      <c r="F19" s="2"/>
      <c r="G19" s="2"/>
      <c r="H19" s="2">
        <f>AVERAGE(H3:H17)</f>
        <v>3369333.33333333</v>
      </c>
      <c r="I19" s="2"/>
      <c r="J19" s="2"/>
      <c r="K19" s="2"/>
      <c r="L19" s="1"/>
    </row>
    <row r="20" spans="1:12">
      <c r="A20" s="2"/>
      <c r="B20" s="2"/>
      <c r="C20" s="2" t="s">
        <v>81</v>
      </c>
      <c r="D20" s="2"/>
      <c r="E20" s="2"/>
      <c r="F20" s="2"/>
      <c r="G20" s="2"/>
      <c r="H20" s="2">
        <f>MAX(H4:H17)</f>
        <v>4320000</v>
      </c>
      <c r="I20" s="2"/>
      <c r="J20" s="2"/>
      <c r="K20" s="2"/>
      <c r="L20" s="1"/>
    </row>
    <row r="21" spans="1:12">
      <c r="A21" s="2"/>
      <c r="B21" s="2"/>
      <c r="C21" s="2" t="s">
        <v>82</v>
      </c>
      <c r="D21" s="2"/>
      <c r="E21" s="2"/>
      <c r="F21" s="2"/>
      <c r="G21" s="2"/>
      <c r="H21" s="2">
        <f>MIN(H3:H17)</f>
        <v>2100000</v>
      </c>
      <c r="I21" s="2"/>
      <c r="J21" s="2"/>
      <c r="K21" s="2"/>
      <c r="L21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J4" sqref="J4"/>
    </sheetView>
  </sheetViews>
  <sheetFormatPr defaultColWidth="8.72727272727273" defaultRowHeight="14.5"/>
  <cols>
    <col min="2" max="2" width="9.81818181818182" customWidth="1"/>
    <col min="3" max="3" width="19" customWidth="1"/>
    <col min="4" max="4" width="17.8181818181818" customWidth="1"/>
    <col min="5" max="5" width="9.18181818181818" customWidth="1"/>
    <col min="7" max="7" width="11.0909090909091" customWidth="1"/>
    <col min="10" max="10" width="9.36363636363636" customWidth="1"/>
  </cols>
  <sheetData>
    <row r="1" spans="1:1">
      <c r="A1" t="s">
        <v>83</v>
      </c>
    </row>
    <row r="3" spans="1:11">
      <c r="A3" s="1"/>
      <c r="B3" s="2" t="s">
        <v>27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</row>
    <row r="4" spans="1:11">
      <c r="A4" s="1"/>
      <c r="B4" s="2">
        <v>1</v>
      </c>
      <c r="C4" s="2" t="s">
        <v>93</v>
      </c>
      <c r="D4" s="2" t="str">
        <f>VLOOKUP(LEFT(C4,2),$B$16:$F$19,2,0)</f>
        <v>Máy lạnh Panasonic</v>
      </c>
      <c r="E4" s="3">
        <f>VLOOKUP(LEFT(C4,2),B15:F19,3,0)</f>
        <v>300</v>
      </c>
      <c r="F4" s="2">
        <f>VLOOKUP(LEFT(C4,2),$B$15:$F$19,4,0)</f>
        <v>130</v>
      </c>
      <c r="G4" s="2" cm="1">
        <f t="array" ref="G4:G11">E4:E11*F4:F11</f>
        <v>39000</v>
      </c>
      <c r="H4" s="2">
        <f>E4+15</f>
        <v>315</v>
      </c>
      <c r="I4" s="2">
        <f>VLOOKUP(LEFT(C4,2),$B$15:$F$19,5,0)</f>
        <v>100</v>
      </c>
      <c r="J4" s="5">
        <f>H4*I4</f>
        <v>31500</v>
      </c>
      <c r="K4" s="2"/>
    </row>
    <row r="5" spans="1:11">
      <c r="A5" s="1"/>
      <c r="B5" s="2">
        <v>2</v>
      </c>
      <c r="C5" s="2" t="s">
        <v>94</v>
      </c>
      <c r="D5" s="2" t="str">
        <f t="shared" ref="D5:D11" si="0">VLOOKUP(LEFT(C5,2),$B$16:$F$19,2,0)</f>
        <v>Máy lạnh Panasonic</v>
      </c>
      <c r="E5" s="3">
        <f>VLOOKUP(LEFT(C5,2),B15:F19,3,0)</f>
        <v>300</v>
      </c>
      <c r="F5" s="4">
        <f t="shared" ref="F5:F11" si="1">VLOOKUP(LEFT(C5,2),$B$15:$F$19,4,0)</f>
        <v>130</v>
      </c>
      <c r="G5" s="2">
        <v>39000</v>
      </c>
      <c r="H5" s="2">
        <f>E5+10</f>
        <v>310</v>
      </c>
      <c r="I5" s="2">
        <f t="shared" ref="I5:I11" si="2">VLOOKUP(LEFT(C5,2),$B$15:$F$19,5,0)</f>
        <v>100</v>
      </c>
      <c r="J5" s="5">
        <f t="shared" ref="J5:J11" si="3">H5*I5</f>
        <v>31000</v>
      </c>
      <c r="K5" s="2"/>
    </row>
    <row r="6" spans="1:11">
      <c r="A6" s="1"/>
      <c r="B6" s="2">
        <v>3</v>
      </c>
      <c r="C6" s="2" t="s">
        <v>95</v>
      </c>
      <c r="D6" s="2" t="str">
        <f t="shared" si="0"/>
        <v>Máy lạnh Sanyo</v>
      </c>
      <c r="E6" s="3">
        <f>VLOOKUP(LEFT(C6,2),B15:F19,3,0)</f>
        <v>210</v>
      </c>
      <c r="F6" s="2">
        <f t="shared" si="1"/>
        <v>126</v>
      </c>
      <c r="G6" s="2">
        <v>26460</v>
      </c>
      <c r="H6" s="2">
        <f>E6+12</f>
        <v>222</v>
      </c>
      <c r="I6" s="2">
        <f t="shared" si="2"/>
        <v>85</v>
      </c>
      <c r="J6" s="5">
        <f t="shared" si="3"/>
        <v>18870</v>
      </c>
      <c r="K6" s="2"/>
    </row>
    <row r="7" spans="1:11">
      <c r="A7" s="1"/>
      <c r="B7" s="2">
        <v>4</v>
      </c>
      <c r="C7" s="2" t="s">
        <v>96</v>
      </c>
      <c r="D7" s="2" t="str">
        <f t="shared" si="0"/>
        <v>Máy lạnh toshiba</v>
      </c>
      <c r="E7" s="3">
        <f>VLOOKUP(LEFT(C7,2),B15:F19,3,0)</f>
        <v>250</v>
      </c>
      <c r="F7" s="4">
        <f t="shared" si="1"/>
        <v>90</v>
      </c>
      <c r="G7" s="2">
        <v>22500</v>
      </c>
      <c r="H7" s="2">
        <f>E7+10</f>
        <v>260</v>
      </c>
      <c r="I7" s="2">
        <f t="shared" si="2"/>
        <v>60</v>
      </c>
      <c r="J7" s="5">
        <f t="shared" si="3"/>
        <v>15600</v>
      </c>
      <c r="K7" s="2"/>
    </row>
    <row r="8" spans="1:11">
      <c r="A8" s="1"/>
      <c r="B8" s="2">
        <v>5</v>
      </c>
      <c r="C8" s="2" t="s">
        <v>97</v>
      </c>
      <c r="D8" s="2" t="str">
        <f t="shared" si="0"/>
        <v>Máy lạnh Hitachi</v>
      </c>
      <c r="E8" s="3">
        <f>VLOOKUP(LEFT(C8,2),B15:F19,3,0)</f>
        <v>220</v>
      </c>
      <c r="F8" s="2">
        <f t="shared" si="1"/>
        <v>70</v>
      </c>
      <c r="G8" s="2">
        <v>15400</v>
      </c>
      <c r="H8" s="2">
        <f>E8+10</f>
        <v>230</v>
      </c>
      <c r="I8" s="2">
        <f t="shared" si="2"/>
        <v>30</v>
      </c>
      <c r="J8" s="5">
        <f t="shared" si="3"/>
        <v>6900</v>
      </c>
      <c r="K8" s="2"/>
    </row>
    <row r="9" spans="1:11">
      <c r="A9" s="1"/>
      <c r="B9" s="2">
        <v>6</v>
      </c>
      <c r="C9" s="2" t="s">
        <v>97</v>
      </c>
      <c r="D9" s="2" t="str">
        <f t="shared" si="0"/>
        <v>Máy lạnh Hitachi</v>
      </c>
      <c r="E9" s="3">
        <f>VLOOKUP(LEFT(C9,2),B15:F19,3,0)</f>
        <v>220</v>
      </c>
      <c r="F9" s="2">
        <f t="shared" si="1"/>
        <v>70</v>
      </c>
      <c r="G9" s="2">
        <v>15400</v>
      </c>
      <c r="H9" s="2">
        <f>E9+10</f>
        <v>230</v>
      </c>
      <c r="I9" s="2">
        <f t="shared" si="2"/>
        <v>30</v>
      </c>
      <c r="J9" s="5">
        <f t="shared" si="3"/>
        <v>6900</v>
      </c>
      <c r="K9" s="2"/>
    </row>
    <row r="10" spans="1:11">
      <c r="A10" s="1"/>
      <c r="B10" s="2">
        <v>7</v>
      </c>
      <c r="C10" s="2" t="s">
        <v>98</v>
      </c>
      <c r="D10" s="2" t="str">
        <f t="shared" si="0"/>
        <v>Máy lạnh toshiba</v>
      </c>
      <c r="E10" s="3">
        <f>VLOOKUP(LEFT(C10,2),B15:F19,3,0)</f>
        <v>250</v>
      </c>
      <c r="F10" s="2">
        <f t="shared" si="1"/>
        <v>90</v>
      </c>
      <c r="G10" s="2">
        <v>22500</v>
      </c>
      <c r="H10" s="2">
        <f>E10+12</f>
        <v>262</v>
      </c>
      <c r="I10" s="2">
        <f t="shared" si="2"/>
        <v>60</v>
      </c>
      <c r="J10" s="5">
        <f t="shared" si="3"/>
        <v>15720</v>
      </c>
      <c r="K10" s="2"/>
    </row>
    <row r="11" spans="1:11">
      <c r="A11" s="1"/>
      <c r="B11" s="2">
        <v>8</v>
      </c>
      <c r="C11" s="2" t="s">
        <v>99</v>
      </c>
      <c r="D11" s="2" t="str">
        <f t="shared" si="0"/>
        <v>Máy lạnh Sanyo</v>
      </c>
      <c r="E11" s="3">
        <f>VLOOKUP(LEFT(C11,2),B15:F19,3,0)</f>
        <v>210</v>
      </c>
      <c r="F11" s="2">
        <f t="shared" si="1"/>
        <v>126</v>
      </c>
      <c r="G11" s="2">
        <v>26460</v>
      </c>
      <c r="H11" s="2">
        <f>E11+12</f>
        <v>222</v>
      </c>
      <c r="I11" s="2">
        <f t="shared" si="2"/>
        <v>85</v>
      </c>
      <c r="J11" s="5">
        <f t="shared" si="3"/>
        <v>18870</v>
      </c>
      <c r="K11" s="2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100</v>
      </c>
      <c r="B14" s="2"/>
      <c r="C14" s="2"/>
      <c r="D14" s="2"/>
      <c r="E14" s="2"/>
      <c r="F14" s="2"/>
      <c r="G14" s="1"/>
      <c r="H14" s="1"/>
      <c r="I14" s="1"/>
      <c r="J14" s="1"/>
      <c r="K14" s="1"/>
    </row>
    <row r="15" spans="1:11">
      <c r="A15" s="2"/>
      <c r="B15" s="2" t="s">
        <v>84</v>
      </c>
      <c r="C15" s="2" t="s">
        <v>85</v>
      </c>
      <c r="D15" s="2" t="s">
        <v>101</v>
      </c>
      <c r="E15" s="2" t="s">
        <v>102</v>
      </c>
      <c r="F15" s="2" t="s">
        <v>90</v>
      </c>
      <c r="G15" s="1"/>
      <c r="H15" s="1"/>
      <c r="I15" s="1"/>
      <c r="J15" s="1"/>
      <c r="K15" s="1"/>
    </row>
    <row r="16" spans="1:11">
      <c r="A16" s="2"/>
      <c r="B16" s="2" t="s">
        <v>103</v>
      </c>
      <c r="C16" s="2" t="s">
        <v>104</v>
      </c>
      <c r="D16" s="5">
        <v>300</v>
      </c>
      <c r="E16" s="2">
        <v>130</v>
      </c>
      <c r="F16" s="2">
        <v>100</v>
      </c>
      <c r="G16" s="1"/>
      <c r="H16" s="1"/>
      <c r="I16" s="1"/>
      <c r="J16" s="1"/>
      <c r="K16" s="1"/>
    </row>
    <row r="17" spans="1:11">
      <c r="A17" s="2"/>
      <c r="B17" s="2" t="s">
        <v>105</v>
      </c>
      <c r="C17" s="2" t="s">
        <v>106</v>
      </c>
      <c r="D17" s="5">
        <v>250</v>
      </c>
      <c r="E17" s="2">
        <v>90</v>
      </c>
      <c r="F17" s="2">
        <v>60</v>
      </c>
      <c r="G17" s="1"/>
      <c r="H17" s="1"/>
      <c r="I17" s="1"/>
      <c r="J17" s="1"/>
      <c r="K17" s="1"/>
    </row>
    <row r="18" spans="1:11">
      <c r="A18" s="2"/>
      <c r="B18" s="2" t="s">
        <v>107</v>
      </c>
      <c r="C18" s="2" t="s">
        <v>108</v>
      </c>
      <c r="D18" s="5">
        <v>210</v>
      </c>
      <c r="E18" s="2">
        <v>126</v>
      </c>
      <c r="F18" s="2">
        <v>85</v>
      </c>
      <c r="G18" s="1"/>
      <c r="H18" s="1"/>
      <c r="I18" s="1"/>
      <c r="J18" s="1"/>
      <c r="K18" s="1"/>
    </row>
    <row r="19" spans="1:11">
      <c r="A19" s="2"/>
      <c r="B19" s="2" t="s">
        <v>109</v>
      </c>
      <c r="C19" s="2" t="s">
        <v>110</v>
      </c>
      <c r="D19" s="5">
        <v>220</v>
      </c>
      <c r="E19" s="2">
        <v>70</v>
      </c>
      <c r="F19" s="2">
        <v>30</v>
      </c>
      <c r="G19" s="1"/>
      <c r="H19" s="1"/>
      <c r="I19" s="1"/>
      <c r="J19" s="1"/>
      <c r="K19" s="1"/>
    </row>
  </sheetData>
  <mergeCells count="1">
    <mergeCell ref="A14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 linh</cp:lastModifiedBy>
  <dcterms:created xsi:type="dcterms:W3CDTF">2025-12-23T00:25:10Z</dcterms:created>
  <dcterms:modified xsi:type="dcterms:W3CDTF">2025-12-23T03:55:33Z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BEDF36B353C24A318AD64ECB9CDC16E7_11</vt:lpwstr>
  </property>
  <property fmtid="{D5CDD505-2E9C-101B-9397-08002B2CF9AE}" pid="3" name="KSOProductBuildVer">
    <vt:lpwstr>1033-12.2.0.23155</vt:lpwstr>
  </property>
</Properties>
</file>