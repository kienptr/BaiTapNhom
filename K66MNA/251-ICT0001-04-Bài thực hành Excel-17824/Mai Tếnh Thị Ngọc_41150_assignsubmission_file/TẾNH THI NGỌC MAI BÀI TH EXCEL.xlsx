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TC\Documents\"/>
    </mc:Choice>
  </mc:AlternateContent>
  <bookViews>
    <workbookView xWindow="0" yWindow="0" windowWidth="19200" windowHeight="6930"/>
  </bookViews>
  <sheets>
    <sheet name="BẢNG TÍNH 1" sheetId="1" r:id="rId1"/>
    <sheet name="BẢNG TÍNH 2" sheetId="2" r:id="rId2"/>
    <sheet name="BẢNG TÍNH 3" sheetId="3" r:id="rId3"/>
    <sheet name="BẢNG TÍNH 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2" i="4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H7" i="2"/>
  <c r="H8" i="2"/>
  <c r="H4" i="2"/>
  <c r="H5" i="2"/>
  <c r="H6" i="2"/>
  <c r="H3" i="2"/>
  <c r="I20" i="3"/>
  <c r="J20" i="3"/>
  <c r="H20" i="3"/>
  <c r="I19" i="3"/>
  <c r="J19" i="3"/>
  <c r="H19" i="3"/>
  <c r="I18" i="3"/>
  <c r="J18" i="3"/>
  <c r="H18" i="3"/>
  <c r="I17" i="3"/>
  <c r="J17" i="3"/>
  <c r="H17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2" i="3"/>
  <c r="G4" i="2"/>
  <c r="G5" i="2"/>
  <c r="G6" i="2"/>
  <c r="G7" i="2"/>
  <c r="G8" i="2"/>
  <c r="G3" i="2"/>
  <c r="F4" i="2"/>
  <c r="F5" i="2"/>
  <c r="F6" i="2"/>
  <c r="F7" i="2"/>
  <c r="F8" i="2"/>
  <c r="F3" i="2"/>
  <c r="J4" i="1" l="1"/>
  <c r="J5" i="1"/>
  <c r="J6" i="1"/>
  <c r="J7" i="1"/>
  <c r="J8" i="1"/>
  <c r="J9" i="1"/>
  <c r="J10" i="1"/>
  <c r="J11" i="1"/>
  <c r="J12" i="1"/>
  <c r="J13" i="1"/>
  <c r="J14" i="1"/>
  <c r="J3" i="1"/>
  <c r="H3" i="1"/>
  <c r="H4" i="1"/>
  <c r="H5" i="1"/>
  <c r="H6" i="1"/>
  <c r="H7" i="1"/>
  <c r="H8" i="1"/>
  <c r="H9" i="1"/>
  <c r="H10" i="1"/>
  <c r="H11" i="1"/>
  <c r="H12" i="1"/>
  <c r="H13" i="1"/>
  <c r="H14" i="1"/>
  <c r="H15" i="1" l="1"/>
  <c r="H17" i="1"/>
  <c r="H16" i="1"/>
</calcChain>
</file>

<file path=xl/sharedStrings.xml><?xml version="1.0" encoding="utf-8"?>
<sst xmlns="http://schemas.openxmlformats.org/spreadsheetml/2006/main" count="159" uniqueCount="113">
  <si>
    <t>KẾT QUẢ THI CUỐI KHÓA</t>
  </si>
  <si>
    <t>STT</t>
  </si>
  <si>
    <t>TÊN HS</t>
  </si>
  <si>
    <t>PHÁI</t>
  </si>
  <si>
    <t>NS</t>
  </si>
  <si>
    <t>TOÁN</t>
  </si>
  <si>
    <t>VĂN</t>
  </si>
  <si>
    <t>NGOẠI NGỮ</t>
  </si>
  <si>
    <t>ĐTB</t>
  </si>
  <si>
    <t>KQ</t>
  </si>
  <si>
    <t>XẾP HẠNG</t>
  </si>
  <si>
    <t>LÂM</t>
  </si>
  <si>
    <t>HẢI</t>
  </si>
  <si>
    <t xml:space="preserve">HIỆP </t>
  </si>
  <si>
    <t xml:space="preserve">THẢO </t>
  </si>
  <si>
    <t>MINH</t>
  </si>
  <si>
    <t xml:space="preserve"> HỒNG</t>
  </si>
  <si>
    <t xml:space="preserve">LINH </t>
  </si>
  <si>
    <t xml:space="preserve">NAM </t>
  </si>
  <si>
    <t xml:space="preserve">DIỄM </t>
  </si>
  <si>
    <t>NGA</t>
  </si>
  <si>
    <t xml:space="preserve">KHOA </t>
  </si>
  <si>
    <t>SƠN</t>
  </si>
  <si>
    <t>NAM</t>
  </si>
  <si>
    <t>NỮ</t>
  </si>
  <si>
    <t>TRUNG BÌNH</t>
  </si>
  <si>
    <t xml:space="preserve">CAO NHẤT </t>
  </si>
  <si>
    <t>THẤP NHẤT</t>
  </si>
  <si>
    <t>ĐẠT</t>
  </si>
  <si>
    <t>RỚT</t>
  </si>
  <si>
    <t>KHEN THƯỞNG</t>
  </si>
  <si>
    <t>DANH SÁCH HƯỞNG THÁNG 03</t>
  </si>
  <si>
    <t>HỌ</t>
  </si>
  <si>
    <t>TÊN</t>
  </si>
  <si>
    <t>NGÀY CÔNG</t>
  </si>
  <si>
    <t>THƯỞNG 8-3</t>
  </si>
  <si>
    <t>THƯỞNG A</t>
  </si>
  <si>
    <t>TRẦN THANH</t>
  </si>
  <si>
    <t>PHẠM HÙNG</t>
  </si>
  <si>
    <t xml:space="preserve">LÊ NGỌC </t>
  </si>
  <si>
    <t>PHẠM THANH</t>
  </si>
  <si>
    <t xml:space="preserve">PHẠM HOÀI </t>
  </si>
  <si>
    <t>LÊ THANH</t>
  </si>
  <si>
    <t>TUẤN</t>
  </si>
  <si>
    <t>CƯỜNG</t>
  </si>
  <si>
    <t xml:space="preserve">XUÂN </t>
  </si>
  <si>
    <t>LONG</t>
  </si>
  <si>
    <t>LAN</t>
  </si>
  <si>
    <t>THƯỞNG B</t>
  </si>
  <si>
    <t>HỌ VÀ TÊN</t>
  </si>
  <si>
    <t>CHỨC VỤ</t>
  </si>
  <si>
    <t>NĂM SINH</t>
  </si>
  <si>
    <t>LCB</t>
  </si>
  <si>
    <t>NGÀY</t>
  </si>
  <si>
    <t>LƯƠNG</t>
  </si>
  <si>
    <t>TẠM ỨNG</t>
  </si>
  <si>
    <t>NGUYỄN VĂN TÂM</t>
  </si>
  <si>
    <t xml:space="preserve">NGUYỄN THỊ HẰNG </t>
  </si>
  <si>
    <t>NGÔ THỊ NGA</t>
  </si>
  <si>
    <t>TRẦN THIÊN THU</t>
  </si>
  <si>
    <t xml:space="preserve">LÂM HOÀNG CÁT </t>
  </si>
  <si>
    <t>LÊ HOÀI SƠN</t>
  </si>
  <si>
    <t>LÝ LÂM</t>
  </si>
  <si>
    <t>TRẦN VĂN TRUNG</t>
  </si>
  <si>
    <t>NGUYỄN VĂN TRANG</t>
  </si>
  <si>
    <t>LÝ THU NGA</t>
  </si>
  <si>
    <t>NGUYỄN VĂN HÙNG</t>
  </si>
  <si>
    <t xml:space="preserve">TRẦN THIỊ PHƯỢNG </t>
  </si>
  <si>
    <t>VÕ TẤN THÀNH</t>
  </si>
  <si>
    <t>LÊ VĂN MINH</t>
  </si>
  <si>
    <t xml:space="preserve">DOÃN HÒA </t>
  </si>
  <si>
    <t>TP</t>
  </si>
  <si>
    <t>NV</t>
  </si>
  <si>
    <t>PP</t>
  </si>
  <si>
    <t>KT</t>
  </si>
  <si>
    <t>BV</t>
  </si>
  <si>
    <t>GĐ</t>
  </si>
  <si>
    <t>PGĐ</t>
  </si>
  <si>
    <t>TỔNG CỘNG</t>
  </si>
  <si>
    <t xml:space="preserve">BÌNH QUÂN </t>
  </si>
  <si>
    <t>CAO NHẤT</t>
  </si>
  <si>
    <t>TUỔI</t>
  </si>
  <si>
    <t>THƯỞNG</t>
  </si>
  <si>
    <t>MÃ HÀNG</t>
  </si>
  <si>
    <t>TÊN HÀNG</t>
  </si>
  <si>
    <t>GIÁ NHẬP</t>
  </si>
  <si>
    <t>SL NHẬP</t>
  </si>
  <si>
    <t>TIỀN NHẬP</t>
  </si>
  <si>
    <t>GIÁ XUẤT</t>
  </si>
  <si>
    <t>SL XUẤT</t>
  </si>
  <si>
    <t>TIỀN XUẤT</t>
  </si>
  <si>
    <t>GHI CHÚ</t>
  </si>
  <si>
    <t>Pa0A12</t>
  </si>
  <si>
    <t>Pa0C15</t>
  </si>
  <si>
    <t>Sa0B2</t>
  </si>
  <si>
    <t>To0C23</t>
  </si>
  <si>
    <t>Hi0C12</t>
  </si>
  <si>
    <t>Hi0A13</t>
  </si>
  <si>
    <t>To0B12</t>
  </si>
  <si>
    <t>CỘNG</t>
  </si>
  <si>
    <t>Pa</t>
  </si>
  <si>
    <t>To</t>
  </si>
  <si>
    <t>Sa</t>
  </si>
  <si>
    <t>Hi</t>
  </si>
  <si>
    <t>Bảng tra dữ liệu các loại máy lạnh:</t>
  </si>
  <si>
    <t>Máy lạnh Panasonic</t>
  </si>
  <si>
    <t>Máy lạnh Toshiba</t>
  </si>
  <si>
    <t>Máy lạnh Sanyo</t>
  </si>
  <si>
    <t>Máy lạnh Hitachi</t>
  </si>
  <si>
    <t>300$</t>
  </si>
  <si>
    <t>250$</t>
  </si>
  <si>
    <t>210$</t>
  </si>
  <si>
    <t>220$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</si>
</sst>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63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charset val="163"/>
      <scheme val="minor"/>
    </font>
    <font>
      <sz val="14"/>
      <color theme="1"/>
      <name val="Calibri"/>
      <family val="2"/>
      <charset val="163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2" borderId="0" xfId="0" applyFill="1"/>
    <xf numFmtId="0" fontId="2" fillId="2" borderId="0" xfId="0" applyFont="1" applyFill="1" applyAlignment="1"/>
    <xf numFmtId="0" fontId="1" fillId="3" borderId="0" xfId="0" applyFont="1" applyFill="1" applyAlignment="1"/>
    <xf numFmtId="2" fontId="0" fillId="0" borderId="0" xfId="0" applyNumberFormat="1"/>
    <xf numFmtId="2" fontId="3" fillId="0" borderId="0" xfId="0" applyNumberFormat="1" applyFont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0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/>
    <xf numFmtId="0" fontId="4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tabSelected="1" zoomScale="79" workbookViewId="0">
      <selection activeCell="E26" sqref="E26"/>
    </sheetView>
  </sheetViews>
  <sheetFormatPr defaultRowHeight="14.5" x14ac:dyDescent="0.35"/>
  <cols>
    <col min="2" max="2" width="8.6328125" customWidth="1"/>
    <col min="7" max="7" width="12.08984375" customWidth="1"/>
    <col min="10" max="10" width="9.7265625" customWidth="1"/>
    <col min="11" max="11" width="13.08984375" customWidth="1"/>
  </cols>
  <sheetData>
    <row r="1" spans="1:19" ht="26.5" customHeight="1" x14ac:dyDescent="0.35">
      <c r="A1" s="3"/>
      <c r="B1" s="4"/>
      <c r="C1" s="18" t="s">
        <v>0</v>
      </c>
      <c r="D1" s="18"/>
      <c r="E1" s="18"/>
      <c r="F1" s="13"/>
      <c r="G1" s="3"/>
      <c r="H1" s="3"/>
      <c r="I1" s="3"/>
      <c r="J1" s="3"/>
      <c r="K1" s="14"/>
      <c r="L1" s="6"/>
      <c r="M1" s="6"/>
      <c r="N1" s="6"/>
      <c r="O1" s="6"/>
      <c r="P1" s="6"/>
      <c r="Q1" s="6"/>
      <c r="R1" s="6"/>
      <c r="S1" s="7"/>
    </row>
    <row r="2" spans="1:19" ht="25.5" customHeight="1" x14ac:dyDescent="0.35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30</v>
      </c>
      <c r="L2" s="8"/>
      <c r="M2" s="8"/>
      <c r="N2" s="8"/>
      <c r="O2" s="8"/>
      <c r="P2" s="8"/>
      <c r="Q2" s="8"/>
      <c r="R2" s="8"/>
      <c r="S2" s="9"/>
    </row>
    <row r="3" spans="1:19" x14ac:dyDescent="0.35">
      <c r="A3">
        <v>1</v>
      </c>
      <c r="B3" t="s">
        <v>11</v>
      </c>
      <c r="C3" t="s">
        <v>23</v>
      </c>
      <c r="D3">
        <v>1988</v>
      </c>
      <c r="E3">
        <v>10</v>
      </c>
      <c r="F3">
        <v>8</v>
      </c>
      <c r="G3">
        <v>9</v>
      </c>
      <c r="H3">
        <f>(E3*2+F3*2+G3)/5</f>
        <v>9</v>
      </c>
      <c r="I3" s="1" t="s">
        <v>28</v>
      </c>
      <c r="J3">
        <f>RANK(H3,$H$3:$H$14,0)</f>
        <v>1</v>
      </c>
      <c r="K3">
        <v>200000</v>
      </c>
    </row>
    <row r="4" spans="1:19" x14ac:dyDescent="0.35">
      <c r="A4">
        <v>2</v>
      </c>
      <c r="B4" t="s">
        <v>12</v>
      </c>
      <c r="C4" t="s">
        <v>23</v>
      </c>
      <c r="D4">
        <v>1987</v>
      </c>
      <c r="E4">
        <v>8</v>
      </c>
      <c r="F4">
        <v>8.5</v>
      </c>
      <c r="G4">
        <v>9</v>
      </c>
      <c r="H4">
        <f t="shared" ref="H4:H14" si="0">(E4*2+F4*2+G4)/5</f>
        <v>8.4</v>
      </c>
      <c r="I4" s="1" t="s">
        <v>28</v>
      </c>
      <c r="J4">
        <f t="shared" ref="J4:J14" si="1">RANK(H4,$H$3:$H$14,0)</f>
        <v>2</v>
      </c>
      <c r="K4">
        <v>100000</v>
      </c>
    </row>
    <row r="5" spans="1:19" x14ac:dyDescent="0.35">
      <c r="A5">
        <v>3</v>
      </c>
      <c r="B5" t="s">
        <v>13</v>
      </c>
      <c r="C5" t="s">
        <v>23</v>
      </c>
      <c r="D5">
        <v>1986</v>
      </c>
      <c r="E5">
        <v>9</v>
      </c>
      <c r="F5">
        <v>8</v>
      </c>
      <c r="G5">
        <v>7</v>
      </c>
      <c r="H5">
        <f t="shared" si="0"/>
        <v>8.1999999999999993</v>
      </c>
      <c r="I5" s="1" t="s">
        <v>28</v>
      </c>
      <c r="J5">
        <f t="shared" si="1"/>
        <v>3</v>
      </c>
      <c r="K5">
        <v>0</v>
      </c>
    </row>
    <row r="6" spans="1:19" x14ac:dyDescent="0.35">
      <c r="A6">
        <v>4</v>
      </c>
      <c r="B6" t="s">
        <v>14</v>
      </c>
      <c r="C6" t="s">
        <v>24</v>
      </c>
      <c r="D6">
        <v>1988</v>
      </c>
      <c r="E6">
        <v>10</v>
      </c>
      <c r="F6">
        <v>4</v>
      </c>
      <c r="G6">
        <v>7</v>
      </c>
      <c r="H6">
        <f t="shared" si="0"/>
        <v>7</v>
      </c>
      <c r="I6" s="1" t="s">
        <v>28</v>
      </c>
      <c r="J6">
        <f t="shared" si="1"/>
        <v>4</v>
      </c>
      <c r="K6">
        <v>0</v>
      </c>
    </row>
    <row r="7" spans="1:19" x14ac:dyDescent="0.35">
      <c r="A7">
        <v>5</v>
      </c>
      <c r="B7" t="s">
        <v>15</v>
      </c>
      <c r="C7" t="s">
        <v>23</v>
      </c>
      <c r="D7">
        <v>1988</v>
      </c>
      <c r="E7">
        <v>9</v>
      </c>
      <c r="F7">
        <v>5</v>
      </c>
      <c r="G7">
        <v>6</v>
      </c>
      <c r="H7">
        <f t="shared" si="0"/>
        <v>6.8</v>
      </c>
      <c r="I7" s="1" t="s">
        <v>28</v>
      </c>
      <c r="J7">
        <f t="shared" si="1"/>
        <v>5</v>
      </c>
      <c r="K7">
        <v>0</v>
      </c>
    </row>
    <row r="8" spans="1:19" x14ac:dyDescent="0.35">
      <c r="A8">
        <v>6</v>
      </c>
      <c r="B8" t="s">
        <v>16</v>
      </c>
      <c r="C8" t="s">
        <v>24</v>
      </c>
      <c r="D8">
        <v>1987</v>
      </c>
      <c r="E8">
        <v>6</v>
      </c>
      <c r="F8">
        <v>6</v>
      </c>
      <c r="G8">
        <v>8</v>
      </c>
      <c r="H8">
        <f t="shared" si="0"/>
        <v>6.4</v>
      </c>
      <c r="I8" s="1" t="s">
        <v>28</v>
      </c>
      <c r="J8">
        <f t="shared" si="1"/>
        <v>6</v>
      </c>
      <c r="K8">
        <v>0</v>
      </c>
    </row>
    <row r="9" spans="1:19" x14ac:dyDescent="0.35">
      <c r="A9">
        <v>7</v>
      </c>
      <c r="B9" t="s">
        <v>17</v>
      </c>
      <c r="C9" t="s">
        <v>23</v>
      </c>
      <c r="D9">
        <v>1986</v>
      </c>
      <c r="E9">
        <v>7.5</v>
      </c>
      <c r="F9">
        <v>5</v>
      </c>
      <c r="G9">
        <v>6</v>
      </c>
      <c r="H9">
        <f t="shared" si="0"/>
        <v>6.2</v>
      </c>
      <c r="I9" s="1" t="s">
        <v>28</v>
      </c>
      <c r="J9">
        <f t="shared" si="1"/>
        <v>7</v>
      </c>
      <c r="K9">
        <v>0</v>
      </c>
    </row>
    <row r="10" spans="1:19" x14ac:dyDescent="0.35">
      <c r="A10">
        <v>8</v>
      </c>
      <c r="B10" t="s">
        <v>18</v>
      </c>
      <c r="C10" t="s">
        <v>23</v>
      </c>
      <c r="D10">
        <v>1988</v>
      </c>
      <c r="E10">
        <v>3</v>
      </c>
      <c r="F10">
        <v>9</v>
      </c>
      <c r="G10">
        <v>7</v>
      </c>
      <c r="H10">
        <f t="shared" si="0"/>
        <v>6.2</v>
      </c>
      <c r="I10" s="1" t="s">
        <v>28</v>
      </c>
      <c r="J10">
        <f t="shared" si="1"/>
        <v>7</v>
      </c>
      <c r="K10">
        <v>0</v>
      </c>
    </row>
    <row r="11" spans="1:19" x14ac:dyDescent="0.35">
      <c r="A11">
        <v>9</v>
      </c>
      <c r="B11" t="s">
        <v>19</v>
      </c>
      <c r="C11" t="s">
        <v>24</v>
      </c>
      <c r="D11">
        <v>1988</v>
      </c>
      <c r="E11">
        <v>4</v>
      </c>
      <c r="F11">
        <v>5</v>
      </c>
      <c r="G11">
        <v>5.5</v>
      </c>
      <c r="H11">
        <f t="shared" si="0"/>
        <v>4.7</v>
      </c>
      <c r="I11" s="1" t="s">
        <v>29</v>
      </c>
      <c r="J11">
        <f t="shared" si="1"/>
        <v>10</v>
      </c>
      <c r="K11">
        <v>0</v>
      </c>
    </row>
    <row r="12" spans="1:19" x14ac:dyDescent="0.35">
      <c r="A12">
        <v>10</v>
      </c>
      <c r="B12" t="s">
        <v>20</v>
      </c>
      <c r="C12" t="s">
        <v>24</v>
      </c>
      <c r="D12">
        <v>1988</v>
      </c>
      <c r="E12">
        <v>4.5</v>
      </c>
      <c r="F12">
        <v>6</v>
      </c>
      <c r="G12">
        <v>4</v>
      </c>
      <c r="H12">
        <f t="shared" si="0"/>
        <v>5</v>
      </c>
      <c r="I12" s="1" t="s">
        <v>28</v>
      </c>
      <c r="J12">
        <f t="shared" si="1"/>
        <v>9</v>
      </c>
      <c r="K12">
        <v>0</v>
      </c>
    </row>
    <row r="13" spans="1:19" x14ac:dyDescent="0.35">
      <c r="A13">
        <v>11</v>
      </c>
      <c r="B13" t="s">
        <v>21</v>
      </c>
      <c r="C13" t="s">
        <v>23</v>
      </c>
      <c r="D13">
        <v>1987</v>
      </c>
      <c r="E13">
        <v>3</v>
      </c>
      <c r="F13">
        <v>5</v>
      </c>
      <c r="G13">
        <v>5</v>
      </c>
      <c r="H13">
        <f t="shared" si="0"/>
        <v>4.2</v>
      </c>
      <c r="I13" s="1" t="s">
        <v>29</v>
      </c>
      <c r="J13">
        <f t="shared" si="1"/>
        <v>11</v>
      </c>
      <c r="K13">
        <v>0</v>
      </c>
    </row>
    <row r="14" spans="1:19" x14ac:dyDescent="0.35">
      <c r="A14">
        <v>12</v>
      </c>
      <c r="B14" t="s">
        <v>22</v>
      </c>
      <c r="C14" t="s">
        <v>23</v>
      </c>
      <c r="D14">
        <v>1986</v>
      </c>
      <c r="E14">
        <v>4</v>
      </c>
      <c r="F14">
        <v>3</v>
      </c>
      <c r="G14">
        <v>5</v>
      </c>
      <c r="H14">
        <f t="shared" si="0"/>
        <v>3.8</v>
      </c>
      <c r="I14" s="1" t="s">
        <v>29</v>
      </c>
      <c r="J14">
        <f t="shared" si="1"/>
        <v>12</v>
      </c>
      <c r="K14">
        <v>0</v>
      </c>
    </row>
    <row r="15" spans="1:19" ht="15.5" x14ac:dyDescent="0.35">
      <c r="A15" s="19" t="s">
        <v>25</v>
      </c>
      <c r="B15" s="19"/>
      <c r="C15" s="19"/>
      <c r="D15" s="19"/>
      <c r="H15">
        <f>AVERAGE(H3:H14)</f>
        <v>6.3250000000000002</v>
      </c>
    </row>
    <row r="16" spans="1:19" ht="15.5" x14ac:dyDescent="0.35">
      <c r="A16" s="19" t="s">
        <v>26</v>
      </c>
      <c r="B16" s="19"/>
      <c r="C16" s="19"/>
      <c r="D16" s="19"/>
      <c r="H16">
        <f>MAX(H3:H14)</f>
        <v>9</v>
      </c>
    </row>
    <row r="17" spans="1:8" ht="15.5" x14ac:dyDescent="0.35">
      <c r="A17" s="19" t="s">
        <v>27</v>
      </c>
      <c r="B17" s="19"/>
      <c r="C17" s="19"/>
      <c r="D17" s="19"/>
      <c r="H17">
        <f>MIN(H3:H14)</f>
        <v>3.8</v>
      </c>
    </row>
  </sheetData>
  <mergeCells count="4">
    <mergeCell ref="A15:D15"/>
    <mergeCell ref="A16:D16"/>
    <mergeCell ref="A17:D17"/>
    <mergeCell ref="L1:S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E21" sqref="E21"/>
    </sheetView>
  </sheetViews>
  <sheetFormatPr defaultRowHeight="14.5" x14ac:dyDescent="0.35"/>
  <cols>
    <col min="2" max="2" width="12.1796875" customWidth="1"/>
    <col min="5" max="5" width="10.81640625" customWidth="1"/>
    <col min="6" max="6" width="11.453125" customWidth="1"/>
    <col min="7" max="7" width="10.36328125" customWidth="1"/>
    <col min="8" max="8" width="9.90625" customWidth="1"/>
  </cols>
  <sheetData>
    <row r="1" spans="1:8" ht="22" customHeight="1" x14ac:dyDescent="0.45">
      <c r="A1" s="17" t="s">
        <v>31</v>
      </c>
      <c r="B1" s="17"/>
      <c r="C1" s="17"/>
      <c r="D1" s="17"/>
      <c r="E1" s="17"/>
      <c r="F1" s="17"/>
      <c r="G1" s="17"/>
    </row>
    <row r="2" spans="1:8" ht="22.5" customHeight="1" x14ac:dyDescent="0.35">
      <c r="A2" s="20" t="s">
        <v>1</v>
      </c>
      <c r="B2" s="20" t="s">
        <v>32</v>
      </c>
      <c r="C2" s="20" t="s">
        <v>33</v>
      </c>
      <c r="D2" s="20" t="s">
        <v>3</v>
      </c>
      <c r="E2" s="20" t="s">
        <v>34</v>
      </c>
      <c r="F2" s="20" t="s">
        <v>35</v>
      </c>
      <c r="G2" s="20" t="s">
        <v>36</v>
      </c>
      <c r="H2" s="20" t="s">
        <v>48</v>
      </c>
    </row>
    <row r="3" spans="1:8" x14ac:dyDescent="0.35">
      <c r="A3">
        <v>1</v>
      </c>
      <c r="B3" t="s">
        <v>37</v>
      </c>
      <c r="C3" t="s">
        <v>43</v>
      </c>
      <c r="D3" t="s">
        <v>18</v>
      </c>
      <c r="E3">
        <v>25</v>
      </c>
      <c r="F3">
        <f>IF(D3="NỮ",200000,0)</f>
        <v>0</v>
      </c>
      <c r="G3">
        <f>IF(E3&gt;=24,300000,0)</f>
        <v>300000</v>
      </c>
      <c r="H3">
        <f>IF(OR(AND(D3="NAM",E3&gt;26),AND(D3="NỮ",E3&gt;25)),100000,0)</f>
        <v>0</v>
      </c>
    </row>
    <row r="4" spans="1:8" x14ac:dyDescent="0.35">
      <c r="A4">
        <v>2</v>
      </c>
      <c r="B4" t="s">
        <v>38</v>
      </c>
      <c r="C4" t="s">
        <v>44</v>
      </c>
      <c r="D4" t="s">
        <v>18</v>
      </c>
      <c r="E4">
        <v>24</v>
      </c>
      <c r="F4">
        <f t="shared" ref="F4:F8" si="0">IF(D4="NỮ",200000,0)</f>
        <v>0</v>
      </c>
      <c r="G4">
        <f t="shared" ref="G4:G8" si="1">IF(E4&gt;=24,300000,0)</f>
        <v>300000</v>
      </c>
      <c r="H4">
        <f t="shared" ref="H4:H8" si="2">IF(OR(AND(D4="NAM",E4&gt;26),AND(D4="NỮ",E4&gt;25)),100000,0)</f>
        <v>0</v>
      </c>
    </row>
    <row r="5" spans="1:8" x14ac:dyDescent="0.35">
      <c r="A5">
        <v>3</v>
      </c>
      <c r="B5" t="s">
        <v>39</v>
      </c>
      <c r="C5" t="s">
        <v>45</v>
      </c>
      <c r="D5" t="s">
        <v>24</v>
      </c>
      <c r="E5">
        <v>26</v>
      </c>
      <c r="F5">
        <f t="shared" si="0"/>
        <v>200000</v>
      </c>
      <c r="G5">
        <f t="shared" si="1"/>
        <v>300000</v>
      </c>
      <c r="H5">
        <f t="shared" si="2"/>
        <v>100000</v>
      </c>
    </row>
    <row r="6" spans="1:8" x14ac:dyDescent="0.35">
      <c r="A6">
        <v>4</v>
      </c>
      <c r="B6" t="s">
        <v>40</v>
      </c>
      <c r="C6" t="s">
        <v>46</v>
      </c>
      <c r="D6" t="s">
        <v>24</v>
      </c>
      <c r="E6">
        <v>22</v>
      </c>
      <c r="F6">
        <f t="shared" si="0"/>
        <v>200000</v>
      </c>
      <c r="G6">
        <f t="shared" si="1"/>
        <v>0</v>
      </c>
      <c r="H6">
        <f t="shared" si="2"/>
        <v>0</v>
      </c>
    </row>
    <row r="7" spans="1:8" x14ac:dyDescent="0.35">
      <c r="A7">
        <v>5</v>
      </c>
      <c r="B7" t="s">
        <v>41</v>
      </c>
      <c r="C7" t="s">
        <v>23</v>
      </c>
      <c r="D7" t="s">
        <v>18</v>
      </c>
      <c r="E7">
        <v>27</v>
      </c>
      <c r="F7">
        <f t="shared" si="0"/>
        <v>0</v>
      </c>
      <c r="G7">
        <f t="shared" si="1"/>
        <v>300000</v>
      </c>
      <c r="H7">
        <f>IF(OR(AND(D7="NAM",E7&gt;26),AND(D7="NỮ",E7&gt;25)),100000,0)</f>
        <v>0</v>
      </c>
    </row>
    <row r="8" spans="1:8" x14ac:dyDescent="0.35">
      <c r="A8">
        <v>6</v>
      </c>
      <c r="B8" t="s">
        <v>42</v>
      </c>
      <c r="C8" t="s">
        <v>47</v>
      </c>
      <c r="D8" t="s">
        <v>24</v>
      </c>
      <c r="E8">
        <v>25</v>
      </c>
      <c r="F8">
        <f t="shared" si="0"/>
        <v>200000</v>
      </c>
      <c r="G8">
        <f t="shared" si="1"/>
        <v>300000</v>
      </c>
      <c r="H8">
        <f>IF(OR(AND(D8="NAM",E7&gt;26),AND(D8="NỮ",E8&gt;25)),100000,0)</f>
        <v>0</v>
      </c>
    </row>
  </sheetData>
  <mergeCells count="1">
    <mergeCell ref="A1:G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selection activeCell="C21" sqref="C21"/>
    </sheetView>
  </sheetViews>
  <sheetFormatPr defaultRowHeight="14.5" x14ac:dyDescent="0.35"/>
  <cols>
    <col min="2" max="2" width="18.08984375" customWidth="1"/>
    <col min="4" max="4" width="10.453125" customWidth="1"/>
    <col min="7" max="7" width="13" customWidth="1"/>
    <col min="9" max="9" width="9.36328125" customWidth="1"/>
  </cols>
  <sheetData>
    <row r="1" spans="1:10" ht="24.5" customHeight="1" x14ac:dyDescent="0.35">
      <c r="A1" s="21" t="s">
        <v>1</v>
      </c>
      <c r="B1" s="22" t="s">
        <v>49</v>
      </c>
      <c r="C1" s="21" t="s">
        <v>50</v>
      </c>
      <c r="D1" s="23" t="s">
        <v>51</v>
      </c>
      <c r="E1" s="21" t="s">
        <v>52</v>
      </c>
      <c r="F1" s="21" t="s">
        <v>53</v>
      </c>
      <c r="G1" s="21" t="s">
        <v>81</v>
      </c>
      <c r="H1" s="21" t="s">
        <v>54</v>
      </c>
      <c r="I1" s="21" t="s">
        <v>82</v>
      </c>
      <c r="J1" s="21" t="s">
        <v>55</v>
      </c>
    </row>
    <row r="2" spans="1:10" x14ac:dyDescent="0.35">
      <c r="A2">
        <v>1</v>
      </c>
      <c r="B2" t="s">
        <v>56</v>
      </c>
      <c r="C2" t="s">
        <v>71</v>
      </c>
      <c r="D2" s="11">
        <v>27811</v>
      </c>
      <c r="E2">
        <v>120000</v>
      </c>
      <c r="F2">
        <v>25</v>
      </c>
      <c r="G2" s="15">
        <f>2025-1976</f>
        <v>49</v>
      </c>
      <c r="H2">
        <f>E2*F2</f>
        <v>3000000</v>
      </c>
      <c r="I2">
        <f>IF(C2="GĐ",500000,IF(C2="PGĐ",400000,IF(C2="TP",300000,IF(C2="PP",200000,100000))))</f>
        <v>300000</v>
      </c>
      <c r="J2">
        <f>80%*H2</f>
        <v>2400000</v>
      </c>
    </row>
    <row r="3" spans="1:10" x14ac:dyDescent="0.35">
      <c r="A3">
        <v>2</v>
      </c>
      <c r="B3" t="s">
        <v>57</v>
      </c>
      <c r="C3" t="s">
        <v>72</v>
      </c>
      <c r="D3" s="11">
        <v>27659</v>
      </c>
      <c r="E3">
        <v>160000</v>
      </c>
      <c r="F3">
        <v>24</v>
      </c>
      <c r="G3" s="15">
        <f>2025-1975</f>
        <v>50</v>
      </c>
      <c r="H3">
        <f t="shared" ref="H3:H16" si="0">E3*F3</f>
        <v>3840000</v>
      </c>
      <c r="I3">
        <f t="shared" ref="I3:I17" si="1">IF(C3="GĐ",500000,IF(C3="PGĐ",400000,IF(C3="TP",300000,IF(C3="PP",200000,100000))))</f>
        <v>100000</v>
      </c>
      <c r="J3">
        <f>80%*H3</f>
        <v>3072000</v>
      </c>
    </row>
    <row r="4" spans="1:10" x14ac:dyDescent="0.35">
      <c r="A4">
        <v>3</v>
      </c>
      <c r="B4" t="s">
        <v>58</v>
      </c>
      <c r="C4" t="s">
        <v>73</v>
      </c>
      <c r="D4" s="11">
        <v>24972</v>
      </c>
      <c r="E4">
        <v>150000</v>
      </c>
      <c r="F4">
        <v>26</v>
      </c>
      <c r="G4" s="15">
        <f>2025-1968</f>
        <v>57</v>
      </c>
      <c r="H4">
        <f t="shared" si="0"/>
        <v>3900000</v>
      </c>
      <c r="I4">
        <f t="shared" si="1"/>
        <v>200000</v>
      </c>
      <c r="J4">
        <f>80%*H4</f>
        <v>3120000</v>
      </c>
    </row>
    <row r="5" spans="1:10" x14ac:dyDescent="0.35">
      <c r="A5">
        <v>4</v>
      </c>
      <c r="B5" t="s">
        <v>59</v>
      </c>
      <c r="C5" t="s">
        <v>72</v>
      </c>
      <c r="D5" s="11">
        <v>21231</v>
      </c>
      <c r="E5">
        <v>130000</v>
      </c>
      <c r="F5">
        <v>20</v>
      </c>
      <c r="G5" s="15">
        <f>2025-1958</f>
        <v>67</v>
      </c>
      <c r="H5">
        <f t="shared" si="0"/>
        <v>2600000</v>
      </c>
      <c r="I5">
        <f t="shared" si="1"/>
        <v>100000</v>
      </c>
      <c r="J5">
        <f>80%*H5</f>
        <v>2080000</v>
      </c>
    </row>
    <row r="6" spans="1:10" x14ac:dyDescent="0.35">
      <c r="A6">
        <v>5</v>
      </c>
      <c r="B6" t="s">
        <v>60</v>
      </c>
      <c r="C6" t="s">
        <v>74</v>
      </c>
      <c r="D6" s="11">
        <v>28728</v>
      </c>
      <c r="E6">
        <v>180000</v>
      </c>
      <c r="F6">
        <v>23</v>
      </c>
      <c r="G6" s="15">
        <f>2025-1978</f>
        <v>47</v>
      </c>
      <c r="H6">
        <f t="shared" si="0"/>
        <v>4140000</v>
      </c>
      <c r="I6">
        <f t="shared" si="1"/>
        <v>100000</v>
      </c>
      <c r="J6">
        <f>80%*H6</f>
        <v>3312000</v>
      </c>
    </row>
    <row r="7" spans="1:10" x14ac:dyDescent="0.35">
      <c r="A7">
        <v>6</v>
      </c>
      <c r="B7" t="s">
        <v>61</v>
      </c>
      <c r="C7" t="s">
        <v>75</v>
      </c>
      <c r="D7" s="11">
        <v>25432</v>
      </c>
      <c r="E7">
        <v>150000</v>
      </c>
      <c r="F7">
        <v>24</v>
      </c>
      <c r="G7" s="15">
        <f>2025-1969</f>
        <v>56</v>
      </c>
      <c r="H7">
        <f t="shared" si="0"/>
        <v>3600000</v>
      </c>
      <c r="I7">
        <f t="shared" si="1"/>
        <v>100000</v>
      </c>
      <c r="J7">
        <f>80%*H7</f>
        <v>2880000</v>
      </c>
    </row>
    <row r="8" spans="1:10" x14ac:dyDescent="0.35">
      <c r="A8">
        <v>7</v>
      </c>
      <c r="B8" t="s">
        <v>62</v>
      </c>
      <c r="C8" t="s">
        <v>73</v>
      </c>
      <c r="D8" s="11">
        <v>25430</v>
      </c>
      <c r="E8">
        <v>140000</v>
      </c>
      <c r="F8">
        <v>27</v>
      </c>
      <c r="G8" s="15">
        <f>2025-1969</f>
        <v>56</v>
      </c>
      <c r="H8">
        <f t="shared" si="0"/>
        <v>3780000</v>
      </c>
      <c r="I8">
        <f t="shared" si="1"/>
        <v>200000</v>
      </c>
      <c r="J8">
        <f>80%*H8</f>
        <v>3024000</v>
      </c>
    </row>
    <row r="9" spans="1:10" x14ac:dyDescent="0.35">
      <c r="A9">
        <v>8</v>
      </c>
      <c r="B9" t="s">
        <v>63</v>
      </c>
      <c r="C9" t="s">
        <v>76</v>
      </c>
      <c r="D9" s="11">
        <v>20796</v>
      </c>
      <c r="E9">
        <v>160000</v>
      </c>
      <c r="F9">
        <v>14</v>
      </c>
      <c r="G9" s="15">
        <f>2025-1956</f>
        <v>69</v>
      </c>
      <c r="H9">
        <f t="shared" si="0"/>
        <v>2240000</v>
      </c>
      <c r="I9">
        <f t="shared" si="1"/>
        <v>500000</v>
      </c>
      <c r="J9">
        <f>80%*H9</f>
        <v>1792000</v>
      </c>
    </row>
    <row r="10" spans="1:10" x14ac:dyDescent="0.35">
      <c r="A10">
        <v>9</v>
      </c>
      <c r="B10" t="s">
        <v>64</v>
      </c>
      <c r="C10" t="s">
        <v>75</v>
      </c>
      <c r="D10" s="11">
        <v>22194</v>
      </c>
      <c r="E10">
        <v>150000</v>
      </c>
      <c r="F10">
        <v>17</v>
      </c>
      <c r="G10" s="15">
        <f>2025-1960</f>
        <v>65</v>
      </c>
      <c r="H10">
        <f t="shared" si="0"/>
        <v>2550000</v>
      </c>
      <c r="I10">
        <f t="shared" si="1"/>
        <v>100000</v>
      </c>
      <c r="J10">
        <f>80%*H10</f>
        <v>2040000</v>
      </c>
    </row>
    <row r="11" spans="1:10" x14ac:dyDescent="0.35">
      <c r="A11">
        <v>10</v>
      </c>
      <c r="B11" t="s">
        <v>65</v>
      </c>
      <c r="C11" t="s">
        <v>72</v>
      </c>
      <c r="D11" s="11">
        <v>19859</v>
      </c>
      <c r="E11">
        <v>130000</v>
      </c>
      <c r="F11">
        <v>23</v>
      </c>
      <c r="G11" s="15">
        <f>2025-1954</f>
        <v>71</v>
      </c>
      <c r="H11">
        <f t="shared" si="0"/>
        <v>2990000</v>
      </c>
      <c r="I11">
        <f t="shared" si="1"/>
        <v>100000</v>
      </c>
      <c r="J11">
        <f>80%*H11</f>
        <v>2392000</v>
      </c>
    </row>
    <row r="12" spans="1:10" x14ac:dyDescent="0.35">
      <c r="A12">
        <v>11</v>
      </c>
      <c r="B12" t="s">
        <v>66</v>
      </c>
      <c r="C12" t="s">
        <v>71</v>
      </c>
      <c r="D12" s="11">
        <v>24731</v>
      </c>
      <c r="E12">
        <v>180000</v>
      </c>
      <c r="F12">
        <v>22</v>
      </c>
      <c r="G12" s="15">
        <f>2025-1967</f>
        <v>58</v>
      </c>
      <c r="H12">
        <f t="shared" si="0"/>
        <v>3960000</v>
      </c>
      <c r="I12">
        <f t="shared" si="1"/>
        <v>300000</v>
      </c>
      <c r="J12">
        <f>80%*H12</f>
        <v>3168000</v>
      </c>
    </row>
    <row r="13" spans="1:10" x14ac:dyDescent="0.35">
      <c r="A13">
        <v>12</v>
      </c>
      <c r="B13" t="s">
        <v>67</v>
      </c>
      <c r="C13" t="s">
        <v>72</v>
      </c>
      <c r="D13" s="11">
        <v>25465</v>
      </c>
      <c r="E13">
        <v>150000</v>
      </c>
      <c r="F13">
        <v>14</v>
      </c>
      <c r="G13" s="15">
        <f>2025-1969</f>
        <v>56</v>
      </c>
      <c r="H13">
        <f t="shared" si="0"/>
        <v>2100000</v>
      </c>
      <c r="I13">
        <f t="shared" si="1"/>
        <v>100000</v>
      </c>
      <c r="J13">
        <f>80%*H13</f>
        <v>1680000</v>
      </c>
    </row>
    <row r="14" spans="1:10" x14ac:dyDescent="0.35">
      <c r="A14">
        <v>13</v>
      </c>
      <c r="B14" t="s">
        <v>68</v>
      </c>
      <c r="C14" t="s">
        <v>77</v>
      </c>
      <c r="D14" s="11">
        <v>21438</v>
      </c>
      <c r="E14">
        <v>180000</v>
      </c>
      <c r="F14">
        <v>23</v>
      </c>
      <c r="G14" s="15">
        <f>2025-1958</f>
        <v>67</v>
      </c>
      <c r="H14">
        <f t="shared" si="0"/>
        <v>4140000</v>
      </c>
      <c r="I14">
        <f t="shared" si="1"/>
        <v>400000</v>
      </c>
      <c r="J14">
        <f>80%*H14</f>
        <v>3312000</v>
      </c>
    </row>
    <row r="15" spans="1:10" x14ac:dyDescent="0.35">
      <c r="A15">
        <v>14</v>
      </c>
      <c r="B15" t="s">
        <v>69</v>
      </c>
      <c r="C15" t="s">
        <v>71</v>
      </c>
      <c r="D15" s="11">
        <v>19983</v>
      </c>
      <c r="E15">
        <v>160000</v>
      </c>
      <c r="F15">
        <v>27</v>
      </c>
      <c r="G15" s="15">
        <f>2025-1954</f>
        <v>71</v>
      </c>
      <c r="H15">
        <f t="shared" si="0"/>
        <v>4320000</v>
      </c>
      <c r="I15">
        <f t="shared" si="1"/>
        <v>300000</v>
      </c>
      <c r="J15">
        <f>80%*H15</f>
        <v>3456000</v>
      </c>
    </row>
    <row r="16" spans="1:10" x14ac:dyDescent="0.35">
      <c r="A16">
        <v>15</v>
      </c>
      <c r="B16" t="s">
        <v>70</v>
      </c>
      <c r="C16" t="s">
        <v>75</v>
      </c>
      <c r="D16" s="11">
        <v>25074</v>
      </c>
      <c r="E16">
        <v>130000</v>
      </c>
      <c r="F16">
        <v>26</v>
      </c>
      <c r="G16" s="15">
        <f>2025-1968</f>
        <v>57</v>
      </c>
      <c r="H16">
        <f t="shared" si="0"/>
        <v>3380000</v>
      </c>
      <c r="I16">
        <f t="shared" si="1"/>
        <v>100000</v>
      </c>
      <c r="J16">
        <f>80%*H16</f>
        <v>2704000</v>
      </c>
    </row>
    <row r="17" spans="1:10" x14ac:dyDescent="0.35">
      <c r="A17" s="5" t="s">
        <v>78</v>
      </c>
      <c r="B17" s="5"/>
      <c r="C17" s="5"/>
      <c r="D17" s="5"/>
      <c r="E17" s="5"/>
      <c r="F17" s="5"/>
      <c r="G17" s="16"/>
      <c r="H17">
        <f>SUM(H2:H16)</f>
        <v>50540000</v>
      </c>
      <c r="I17">
        <f t="shared" ref="I17:J17" si="2">SUM(I2:I16)</f>
        <v>3000000</v>
      </c>
      <c r="J17">
        <f t="shared" si="2"/>
        <v>40432000</v>
      </c>
    </row>
    <row r="18" spans="1:10" x14ac:dyDescent="0.35">
      <c r="A18" s="5" t="s">
        <v>79</v>
      </c>
      <c r="B18" s="5"/>
      <c r="C18" s="5"/>
      <c r="D18" s="5"/>
      <c r="E18" s="5"/>
      <c r="F18" s="5"/>
      <c r="G18" s="15"/>
      <c r="H18">
        <f>AVERAGE(H2:H16)</f>
        <v>3369333.3333333335</v>
      </c>
      <c r="I18">
        <f t="shared" ref="I18:J18" si="3">AVERAGE(I2:I16)</f>
        <v>200000</v>
      </c>
      <c r="J18">
        <f t="shared" si="3"/>
        <v>2695466.6666666665</v>
      </c>
    </row>
    <row r="19" spans="1:10" x14ac:dyDescent="0.35">
      <c r="A19" s="5" t="s">
        <v>80</v>
      </c>
      <c r="B19" s="5"/>
      <c r="C19" s="5"/>
      <c r="D19" s="5"/>
      <c r="E19" s="5"/>
      <c r="F19" s="5"/>
      <c r="G19" s="15"/>
      <c r="H19">
        <f>MAX(H2:H16)</f>
        <v>4320000</v>
      </c>
      <c r="I19">
        <f t="shared" ref="I19:J19" si="4">MAX(I2:I16)</f>
        <v>500000</v>
      </c>
      <c r="J19">
        <f t="shared" si="4"/>
        <v>3456000</v>
      </c>
    </row>
    <row r="20" spans="1:10" x14ac:dyDescent="0.35">
      <c r="A20" s="5" t="s">
        <v>27</v>
      </c>
      <c r="B20" s="5"/>
      <c r="C20" s="5"/>
      <c r="D20" s="5"/>
      <c r="E20" s="5"/>
      <c r="F20" s="5"/>
      <c r="G20" s="15"/>
      <c r="H20">
        <f>MIN(H2:H16)</f>
        <v>2100000</v>
      </c>
      <c r="I20">
        <f t="shared" ref="I20:J20" si="5">MIN(I2:I16)</f>
        <v>100000</v>
      </c>
      <c r="J20">
        <f t="shared" si="5"/>
        <v>1680000</v>
      </c>
    </row>
  </sheetData>
  <mergeCells count="4">
    <mergeCell ref="A17:F17"/>
    <mergeCell ref="A18:F18"/>
    <mergeCell ref="A19:F19"/>
    <mergeCell ref="A20:F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D9" sqref="D9"/>
    </sheetView>
  </sheetViews>
  <sheetFormatPr defaultRowHeight="14.5" x14ac:dyDescent="0.35"/>
  <cols>
    <col min="2" max="2" width="9.54296875" customWidth="1"/>
    <col min="3" max="3" width="9.6328125" customWidth="1"/>
    <col min="4" max="4" width="9.36328125" customWidth="1"/>
    <col min="5" max="6" width="9.453125" customWidth="1"/>
    <col min="9" max="9" width="9.6328125" customWidth="1"/>
  </cols>
  <sheetData>
    <row r="1" spans="1:10" ht="26" customHeight="1" x14ac:dyDescent="0.35">
      <c r="A1" s="12" t="s">
        <v>1</v>
      </c>
      <c r="B1" s="12" t="s">
        <v>83</v>
      </c>
      <c r="C1" s="12" t="s">
        <v>84</v>
      </c>
      <c r="D1" s="12" t="s">
        <v>85</v>
      </c>
      <c r="E1" s="12" t="s">
        <v>86</v>
      </c>
      <c r="F1" s="12" t="s">
        <v>87</v>
      </c>
      <c r="G1" s="12" t="s">
        <v>88</v>
      </c>
      <c r="H1" s="12" t="s">
        <v>89</v>
      </c>
      <c r="I1" s="12" t="s">
        <v>90</v>
      </c>
      <c r="J1" s="12" t="s">
        <v>91</v>
      </c>
    </row>
    <row r="2" spans="1:10" x14ac:dyDescent="0.35">
      <c r="A2" s="2">
        <v>1</v>
      </c>
      <c r="B2" t="s">
        <v>92</v>
      </c>
      <c r="C2" t="str">
        <f>LEFT(B2,2)</f>
        <v>Pa</v>
      </c>
    </row>
    <row r="3" spans="1:10" x14ac:dyDescent="0.35">
      <c r="A3" s="2">
        <v>2</v>
      </c>
      <c r="B3" t="s">
        <v>93</v>
      </c>
      <c r="C3" t="str">
        <f t="shared" ref="C3:C9" si="0">LEFT(B3,2)</f>
        <v>Pa</v>
      </c>
    </row>
    <row r="4" spans="1:10" x14ac:dyDescent="0.35">
      <c r="A4" s="2">
        <v>3</v>
      </c>
      <c r="B4" t="s">
        <v>94</v>
      </c>
      <c r="C4" t="str">
        <f t="shared" si="0"/>
        <v>Sa</v>
      </c>
    </row>
    <row r="5" spans="1:10" x14ac:dyDescent="0.35">
      <c r="A5" s="2">
        <v>4</v>
      </c>
      <c r="B5" t="s">
        <v>95</v>
      </c>
      <c r="C5" t="str">
        <f t="shared" si="0"/>
        <v>To</v>
      </c>
    </row>
    <row r="6" spans="1:10" x14ac:dyDescent="0.35">
      <c r="A6" s="2">
        <v>5</v>
      </c>
      <c r="B6" t="s">
        <v>96</v>
      </c>
      <c r="C6" t="str">
        <f t="shared" si="0"/>
        <v>Hi</v>
      </c>
    </row>
    <row r="7" spans="1:10" x14ac:dyDescent="0.35">
      <c r="A7" s="2">
        <v>6</v>
      </c>
      <c r="B7" t="s">
        <v>97</v>
      </c>
      <c r="C7" t="str">
        <f t="shared" si="0"/>
        <v>Hi</v>
      </c>
    </row>
    <row r="8" spans="1:10" x14ac:dyDescent="0.35">
      <c r="A8" s="2">
        <v>7</v>
      </c>
      <c r="B8" t="s">
        <v>98</v>
      </c>
      <c r="C8" t="str">
        <f t="shared" si="0"/>
        <v>To</v>
      </c>
    </row>
    <row r="9" spans="1:10" x14ac:dyDescent="0.35">
      <c r="A9" s="2">
        <v>8</v>
      </c>
      <c r="B9" t="s">
        <v>94</v>
      </c>
      <c r="C9" t="str">
        <f t="shared" si="0"/>
        <v>Sa</v>
      </c>
    </row>
    <row r="10" spans="1:10" x14ac:dyDescent="0.35">
      <c r="A10" s="10" t="s">
        <v>99</v>
      </c>
      <c r="B10" s="10"/>
      <c r="C10" s="10"/>
    </row>
    <row r="11" spans="1:10" ht="24" customHeight="1" x14ac:dyDescent="0.35">
      <c r="A11" s="10" t="s">
        <v>104</v>
      </c>
      <c r="B11" s="10"/>
      <c r="C11" s="10"/>
      <c r="D11" s="10"/>
      <c r="E11" s="10"/>
      <c r="F11" s="10"/>
    </row>
    <row r="12" spans="1:10" ht="23" customHeight="1" x14ac:dyDescent="0.35">
      <c r="B12" s="12" t="s">
        <v>83</v>
      </c>
      <c r="C12" s="5" t="s">
        <v>84</v>
      </c>
      <c r="D12" s="5"/>
      <c r="E12" s="5"/>
      <c r="F12" s="12" t="s">
        <v>85</v>
      </c>
      <c r="G12" s="12" t="s">
        <v>86</v>
      </c>
      <c r="H12" s="12" t="s">
        <v>89</v>
      </c>
    </row>
    <row r="13" spans="1:10" x14ac:dyDescent="0.35">
      <c r="B13" t="s">
        <v>100</v>
      </c>
      <c r="C13" s="24" t="s">
        <v>105</v>
      </c>
      <c r="D13" s="24"/>
      <c r="E13" s="24"/>
      <c r="F13" s="2" t="s">
        <v>109</v>
      </c>
      <c r="G13">
        <v>130</v>
      </c>
      <c r="H13">
        <v>100</v>
      </c>
    </row>
    <row r="14" spans="1:10" x14ac:dyDescent="0.35">
      <c r="B14" t="s">
        <v>101</v>
      </c>
      <c r="C14" s="24" t="s">
        <v>106</v>
      </c>
      <c r="D14" s="24"/>
      <c r="E14" s="24"/>
      <c r="F14" s="2" t="s">
        <v>110</v>
      </c>
      <c r="G14">
        <v>90</v>
      </c>
      <c r="H14">
        <v>60</v>
      </c>
    </row>
    <row r="15" spans="1:10" x14ac:dyDescent="0.35">
      <c r="B15" t="s">
        <v>102</v>
      </c>
      <c r="C15" s="24" t="s">
        <v>107</v>
      </c>
      <c r="D15" s="24"/>
      <c r="E15" s="24"/>
      <c r="F15" s="2" t="s">
        <v>111</v>
      </c>
      <c r="G15">
        <v>126</v>
      </c>
      <c r="H15">
        <v>85</v>
      </c>
    </row>
    <row r="16" spans="1:10" x14ac:dyDescent="0.35">
      <c r="B16" t="s">
        <v>103</v>
      </c>
      <c r="C16" s="24" t="s">
        <v>108</v>
      </c>
      <c r="D16" s="24"/>
      <c r="E16" s="24"/>
      <c r="F16" s="2" t="s">
        <v>112</v>
      </c>
      <c r="G16">
        <v>70</v>
      </c>
      <c r="H16">
        <v>30</v>
      </c>
    </row>
  </sheetData>
  <mergeCells count="7">
    <mergeCell ref="C15:E15"/>
    <mergeCell ref="C16:E16"/>
    <mergeCell ref="A10:C10"/>
    <mergeCell ref="A11:F11"/>
    <mergeCell ref="C12:E12"/>
    <mergeCell ref="C13:E13"/>
    <mergeCell ref="C14:E1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BẢNG TÍNH 1</vt:lpstr>
      <vt:lpstr>BẢNG TÍNH 2</vt:lpstr>
      <vt:lpstr>BẢNG TÍNH 3</vt:lpstr>
      <vt:lpstr>BẢNG TÍNH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DTC</dc:creator>
  <cp:lastModifiedBy>DTC</cp:lastModifiedBy>
  <cp:lastPrinted>2025-12-23T15:27:14Z</cp:lastPrinted>
  <dcterms:created xsi:type="dcterms:W3CDTF">2025-12-23T03:27:19Z</dcterms:created>
  <dcterms:modified xsi:type="dcterms:W3CDTF">2025-12-23T15:33:04Z</dcterms:modified>
</cp:coreProperties>
</file>