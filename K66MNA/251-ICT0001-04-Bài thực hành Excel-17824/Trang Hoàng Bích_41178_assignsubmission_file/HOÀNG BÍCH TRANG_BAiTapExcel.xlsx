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8240" windowHeight="9487" activeTab="3"/>
  </bookViews>
  <sheets>
    <sheet name="Sheet1" sheetId="1" r:id="rId1"/>
    <sheet name="Sheet2" sheetId="2" r:id="rId2"/>
    <sheet name="Sheet3" sheetId="3" r:id="rId3"/>
    <sheet name="sheet4" sheetId="5" r:id="rId4"/>
  </sheets>
  <definedNames>
    <definedName name="_xlnm._FilterDatabase" localSheetId="3" hidden="1">sheet4!$A$1:$J$10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5" l="1"/>
  <c r="E21" i="5"/>
  <c r="D21" i="5"/>
  <c r="G21" i="5" s="1"/>
  <c r="C21" i="5"/>
  <c r="H20" i="5"/>
  <c r="E20" i="5"/>
  <c r="D20" i="5"/>
  <c r="G20" i="5" s="1"/>
  <c r="C20" i="5"/>
  <c r="H3" i="5"/>
  <c r="H4" i="5"/>
  <c r="H5" i="5"/>
  <c r="H6" i="5"/>
  <c r="H7" i="5"/>
  <c r="H8" i="5"/>
  <c r="H9" i="5"/>
  <c r="H2" i="5"/>
  <c r="E3" i="5"/>
  <c r="J3" i="5" s="1"/>
  <c r="E4" i="5"/>
  <c r="E5" i="5"/>
  <c r="E6" i="5"/>
  <c r="E7" i="5"/>
  <c r="J7" i="5" s="1"/>
  <c r="E8" i="5"/>
  <c r="E9" i="5"/>
  <c r="E2" i="5"/>
  <c r="D2" i="5"/>
  <c r="D3" i="5"/>
  <c r="G3" i="5" s="1"/>
  <c r="I3" i="5" s="1"/>
  <c r="D4" i="5"/>
  <c r="G4" i="5" s="1"/>
  <c r="D5" i="5"/>
  <c r="G5" i="5" s="1"/>
  <c r="D6" i="5"/>
  <c r="G6" i="5" s="1"/>
  <c r="I6" i="5" s="1"/>
  <c r="D7" i="5"/>
  <c r="G7" i="5" s="1"/>
  <c r="D8" i="5"/>
  <c r="G8" i="5" s="1"/>
  <c r="D9" i="5"/>
  <c r="G9" i="5" s="1"/>
  <c r="C3" i="5"/>
  <c r="C4" i="5"/>
  <c r="C5" i="5"/>
  <c r="C6" i="5"/>
  <c r="C7" i="5"/>
  <c r="C8" i="5"/>
  <c r="C9" i="5"/>
  <c r="C2" i="5"/>
  <c r="I20" i="5" l="1"/>
  <c r="J6" i="5"/>
  <c r="J21" i="5"/>
  <c r="J8" i="5"/>
  <c r="J20" i="5"/>
  <c r="I21" i="5"/>
  <c r="I7" i="5"/>
  <c r="I5" i="5"/>
  <c r="F20" i="5"/>
  <c r="F21" i="5"/>
  <c r="J4" i="5"/>
  <c r="D10" i="5"/>
  <c r="I9" i="5"/>
  <c r="E10" i="5"/>
  <c r="I8" i="5"/>
  <c r="J9" i="5"/>
  <c r="H10" i="5"/>
  <c r="I4" i="5"/>
  <c r="F5" i="5"/>
  <c r="F4" i="5"/>
  <c r="J5" i="5"/>
  <c r="F3" i="5"/>
  <c r="F2" i="5"/>
  <c r="G2" i="5"/>
  <c r="J2" i="5"/>
  <c r="F9" i="5"/>
  <c r="F8" i="5"/>
  <c r="F7" i="5"/>
  <c r="F6" i="5"/>
  <c r="J3" i="3"/>
  <c r="J4" i="3"/>
  <c r="J6" i="3"/>
  <c r="J7" i="3"/>
  <c r="J8" i="3"/>
  <c r="J10" i="3"/>
  <c r="J11" i="3"/>
  <c r="J12" i="3"/>
  <c r="J14" i="3"/>
  <c r="J1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H3" i="3"/>
  <c r="H4" i="3"/>
  <c r="H5" i="3"/>
  <c r="J5" i="3" s="1"/>
  <c r="H6" i="3"/>
  <c r="H7" i="3"/>
  <c r="H8" i="3"/>
  <c r="H9" i="3"/>
  <c r="J9" i="3" s="1"/>
  <c r="H10" i="3"/>
  <c r="H11" i="3"/>
  <c r="H12" i="3"/>
  <c r="H13" i="3"/>
  <c r="J13" i="3" s="1"/>
  <c r="H14" i="3"/>
  <c r="H15" i="3"/>
  <c r="H16" i="3"/>
  <c r="G10" i="5" l="1"/>
  <c r="I2" i="5"/>
  <c r="I10" i="5" s="1"/>
  <c r="F10" i="5"/>
  <c r="K3" i="3"/>
  <c r="K4" i="3"/>
  <c r="K5" i="3"/>
  <c r="K6" i="3"/>
  <c r="K7" i="3"/>
  <c r="K11" i="3"/>
  <c r="K12" i="3"/>
  <c r="K13" i="3"/>
  <c r="K14" i="3"/>
  <c r="K15" i="3"/>
  <c r="K8" i="3"/>
  <c r="K9" i="3"/>
  <c r="K10" i="3"/>
  <c r="J16" i="3"/>
  <c r="K16" i="3" s="1"/>
  <c r="I2" i="3"/>
  <c r="H2" i="3"/>
  <c r="G3" i="3"/>
  <c r="G4" i="3"/>
  <c r="G5" i="3"/>
  <c r="G6" i="3"/>
  <c r="G7" i="3"/>
  <c r="G8" i="3"/>
  <c r="G11" i="3"/>
  <c r="G12" i="3"/>
  <c r="G13" i="3"/>
  <c r="G15" i="3"/>
  <c r="G16" i="3"/>
  <c r="G2" i="3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H20" i="3" l="1"/>
  <c r="H17" i="3"/>
  <c r="H19" i="3"/>
  <c r="H18" i="3"/>
  <c r="I17" i="3"/>
  <c r="I18" i="3"/>
  <c r="I20" i="3"/>
  <c r="I19" i="3"/>
  <c r="J2" i="3"/>
  <c r="H4" i="1"/>
  <c r="I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I9" i="1" s="1"/>
  <c r="H10" i="1"/>
  <c r="I10" i="1" s="1"/>
  <c r="H11" i="1"/>
  <c r="I11" i="1" s="1"/>
  <c r="H12" i="1"/>
  <c r="I12" i="1" s="1"/>
  <c r="H13" i="1"/>
  <c r="J13" i="1" s="1"/>
  <c r="K13" i="1" s="1"/>
  <c r="H14" i="1"/>
  <c r="J14" i="1" s="1"/>
  <c r="K14" i="1" s="1"/>
  <c r="H3" i="1"/>
  <c r="H17" i="1" s="1"/>
  <c r="J17" i="3" l="1"/>
  <c r="J19" i="3"/>
  <c r="J18" i="3"/>
  <c r="J20" i="3"/>
  <c r="K2" i="3"/>
  <c r="I8" i="1"/>
  <c r="J12" i="1"/>
  <c r="K12" i="1" s="1"/>
  <c r="J4" i="1"/>
  <c r="K4" i="1" s="1"/>
  <c r="I3" i="1"/>
  <c r="I7" i="1"/>
  <c r="J11" i="1"/>
  <c r="K11" i="1" s="1"/>
  <c r="I14" i="1"/>
  <c r="I6" i="1"/>
  <c r="J10" i="1"/>
  <c r="K10" i="1" s="1"/>
  <c r="I13" i="1"/>
  <c r="I5" i="1"/>
  <c r="J9" i="1"/>
  <c r="K9" i="1" s="1"/>
  <c r="J3" i="1"/>
  <c r="K3" i="1" s="1"/>
  <c r="H15" i="1"/>
  <c r="H16" i="1"/>
  <c r="K19" i="3" l="1"/>
  <c r="K17" i="3"/>
  <c r="K20" i="3"/>
  <c r="K18" i="3"/>
</calcChain>
</file>

<file path=xl/sharedStrings.xml><?xml version="1.0" encoding="utf-8"?>
<sst xmlns="http://schemas.openxmlformats.org/spreadsheetml/2006/main" count="167" uniqueCount="117">
  <si>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</si>
  <si>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</si>
  <si>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</si>
  <si>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</si>
  <si>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</si>
  <si>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</si>
  <si>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</si>
  <si>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</si>
  <si>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</si>
  <si>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</si>
  <si>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</si>
  <si>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</si>
  <si>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</si>
  <si>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HIÊP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</si>
  <si>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</si>
  <si>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</si>
  <si>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</si>
  <si>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</si>
  <si>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</si>
  <si>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</si>
  <si>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</si>
  <si>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</si>
  <si>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</si>
  <si>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</si>
  <si>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KHEN THƯỞNG</t>
  </si>
  <si>
    <t>TRUNG BÌNH</t>
  </si>
  <si>
    <t>CAO NHẤT</t>
  </si>
  <si>
    <t>THẤP NHẤT</t>
  </si>
  <si>
    <t>DANH SÁCH THƯỞNG THÁNG 03</t>
  </si>
  <si>
    <t>HỌ</t>
  </si>
  <si>
    <t>TÊN</t>
  </si>
  <si>
    <t>NGÀY CÔNG</t>
  </si>
  <si>
    <t>THƯỞNG 8-3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</si>
  <si>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</si>
  <si>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</si>
  <si>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</si>
  <si>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</si>
  <si>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</si>
  <si>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</si>
  <si>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</si>
  <si>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</si>
  <si>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</si>
  <si>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</si>
  <si>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>LÊ THANH</t>
  </si>
  <si>
    <t>LAN</t>
  </si>
  <si>
    <t>THƯỞNG B</t>
  </si>
  <si>
    <t xml:space="preserve">HỌ VÀ TÊN </t>
  </si>
  <si>
    <t xml:space="preserve">CHỨC VỤ </t>
  </si>
  <si>
    <t>NĂM SINH</t>
  </si>
  <si>
    <t>LCB</t>
  </si>
  <si>
    <t>NGÀY</t>
  </si>
  <si>
    <t>LƯƠNG</t>
  </si>
  <si>
    <t>TẠM ỨNG</t>
  </si>
  <si>
    <t>NGUYỄN VĂN TÂM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</si>
  <si>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</si>
  <si>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</si>
  <si>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</si>
  <si>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</si>
  <si>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</si>
  <si>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</si>
  <si>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</si>
  <si>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</si>
  <si>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</si>
  <si>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</si>
  <si>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</si>
  <si>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</si>
  <si>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</si>
  <si>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</si>
  <si>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</si>
  <si>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</si>
  <si>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</si>
  <si>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</si>
  <si>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TRẦN THỊ PHƯỢNG</t>
  </si>
  <si>
    <t>PGĐ</t>
  </si>
  <si>
    <t>NGUYỄN THỊ HẰNG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</si>
  <si>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</si>
  <si>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</si>
  <si>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</si>
  <si>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</si>
  <si>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</si>
  <si>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</si>
  <si>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</si>
  <si>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</si>
  <si>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</si>
  <si>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</si>
  <si>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</si>
  <si>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</si>
  <si>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TỔNG CỘNG</t>
  </si>
  <si>
    <t>BÌNH QUÂN</t>
  </si>
  <si>
    <t>TUỔI</t>
  </si>
  <si>
    <t>CÒN LẠI</t>
  </si>
  <si>
    <t>THƯỞNG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</si>
  <si>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</si>
  <si>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</si>
  <si>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</si>
  <si>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</si>
  <si>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</si>
  <si>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</si>
  <si>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</si>
  <si>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</si>
  <si>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</si>
  <si>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</si>
  <si>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</si>
  <si>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</si>
  <si>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</si>
  <si>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</si>
  <si>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</si>
  <si>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</si>
  <si>
    <t>Pa</t>
  </si>
  <si>
    <t>To</t>
  </si>
  <si>
    <t>Máy lạnh Panasonic</t>
  </si>
  <si>
    <t>Máy lạnh Toshiba</t>
  </si>
  <si>
    <t>Sa</t>
  </si>
  <si>
    <t>Máy lạnh Sanyo</t>
  </si>
  <si>
    <t>Hi</t>
  </si>
  <si>
    <t>Máy lạnh Hitachi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</si>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</sst>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left" inden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14" xfId="0" applyBorder="1"/>
    <xf numFmtId="0" fontId="0" fillId="0" borderId="21" xfId="0" applyBorder="1"/>
    <xf numFmtId="0" fontId="0" fillId="0" borderId="17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indent="2"/>
    </xf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A17" sqref="A17:C17"/>
    </sheetView>
  </sheetViews>
  <sheetFormatPr defaultRowHeight="14.35" x14ac:dyDescent="0.5"/>
  <cols>
    <col min="5" max="6" width="8.9375" style="1"/>
    <col min="7" max="7" width="11.05859375" style="1" customWidth="1"/>
    <col min="11" max="11" width="14.1171875" customWidth="1"/>
  </cols>
  <sheetData>
    <row r="1" spans="1:11" ht="26" thickBot="1" x14ac:dyDescent="0.9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5">
      <c r="A2" s="18" t="s">
        <v>1</v>
      </c>
      <c r="B2" s="18" t="s">
        <v>2</v>
      </c>
      <c r="C2" s="18" t="s">
        <v>3</v>
      </c>
      <c r="D2" s="18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8" t="s">
        <v>9</v>
      </c>
      <c r="J2" s="18" t="s">
        <v>10</v>
      </c>
      <c r="K2" s="20" t="s">
        <v>24</v>
      </c>
    </row>
    <row r="3" spans="1:11" x14ac:dyDescent="0.5">
      <c r="A3" s="6">
        <v>1</v>
      </c>
      <c r="B3" s="2" t="s">
        <v>11</v>
      </c>
      <c r="C3" s="6" t="s">
        <v>18</v>
      </c>
      <c r="D3" s="6">
        <v>1988</v>
      </c>
      <c r="E3" s="3">
        <v>10</v>
      </c>
      <c r="F3" s="3">
        <v>8</v>
      </c>
      <c r="G3" s="3">
        <v>9</v>
      </c>
      <c r="H3" s="3">
        <f>ROUND((E3*2+F3*2+G3)/5, 2)</f>
        <v>9</v>
      </c>
      <c r="I3" s="6" t="str">
        <f>IF(H3&gt;=5, "ĐẠT", "RỚT")</f>
        <v>ĐẠT</v>
      </c>
      <c r="J3" s="2">
        <f>RANK(H3,$H$3:$H$14)</f>
        <v>1</v>
      </c>
      <c r="K3" s="2">
        <f>IF(J3=1, 200000, IF(J3=2, 100000, 0))</f>
        <v>200000</v>
      </c>
    </row>
    <row r="4" spans="1:11" x14ac:dyDescent="0.5">
      <c r="A4" s="6">
        <v>2</v>
      </c>
      <c r="B4" s="2" t="s">
        <v>12</v>
      </c>
      <c r="C4" s="6" t="s">
        <v>18</v>
      </c>
      <c r="D4" s="6">
        <v>1987</v>
      </c>
      <c r="E4" s="3">
        <v>8</v>
      </c>
      <c r="F4" s="3">
        <v>8.5</v>
      </c>
      <c r="G4" s="3">
        <v>9</v>
      </c>
      <c r="H4" s="3">
        <f t="shared" ref="H4:H14" si="0">ROUND((E4*2+F4*2+G4)/5, 2)</f>
        <v>8.4</v>
      </c>
      <c r="I4" s="6" t="str">
        <f t="shared" ref="I4:I14" si="1">IF(H4&gt;=5, "ĐẠT", "RỚT")</f>
        <v>ĐẠT</v>
      </c>
      <c r="J4" s="2">
        <f t="shared" ref="J4:J14" si="2">RANK(H4,$H$3:$H$14)</f>
        <v>2</v>
      </c>
      <c r="K4" s="2">
        <f t="shared" ref="K4:K14" si="3">IF(J4=1, 200000, IF(J4=2, 100000, 0))</f>
        <v>100000</v>
      </c>
    </row>
    <row r="5" spans="1:11" x14ac:dyDescent="0.5">
      <c r="A5" s="6">
        <v>3</v>
      </c>
      <c r="B5" s="2" t="s">
        <v>13</v>
      </c>
      <c r="C5" s="6" t="s">
        <v>18</v>
      </c>
      <c r="D5" s="6">
        <v>1986</v>
      </c>
      <c r="E5" s="3">
        <v>9</v>
      </c>
      <c r="F5" s="3">
        <v>8.5</v>
      </c>
      <c r="G5" s="3">
        <v>7</v>
      </c>
      <c r="H5" s="3">
        <f t="shared" si="0"/>
        <v>8.4</v>
      </c>
      <c r="I5" s="6" t="str">
        <f t="shared" si="1"/>
        <v>ĐẠT</v>
      </c>
      <c r="J5" s="2">
        <f t="shared" si="2"/>
        <v>2</v>
      </c>
      <c r="K5" s="2">
        <f t="shared" si="3"/>
        <v>100000</v>
      </c>
    </row>
    <row r="6" spans="1:11" x14ac:dyDescent="0.5">
      <c r="A6" s="6">
        <v>4</v>
      </c>
      <c r="B6" s="2" t="s">
        <v>14</v>
      </c>
      <c r="C6" s="6" t="s">
        <v>23</v>
      </c>
      <c r="D6" s="6">
        <v>1988</v>
      </c>
      <c r="E6" s="3">
        <v>10</v>
      </c>
      <c r="F6" s="3">
        <v>4</v>
      </c>
      <c r="G6" s="3">
        <v>7</v>
      </c>
      <c r="H6" s="3">
        <f t="shared" si="0"/>
        <v>7</v>
      </c>
      <c r="I6" s="6" t="str">
        <f t="shared" si="1"/>
        <v>ĐẠT</v>
      </c>
      <c r="J6" s="2">
        <f t="shared" si="2"/>
        <v>4</v>
      </c>
      <c r="K6" s="2">
        <f t="shared" si="3"/>
        <v>0</v>
      </c>
    </row>
    <row r="7" spans="1:11" x14ac:dyDescent="0.5">
      <c r="A7" s="6">
        <v>5</v>
      </c>
      <c r="B7" s="2" t="s">
        <v>15</v>
      </c>
      <c r="C7" s="6" t="s">
        <v>18</v>
      </c>
      <c r="D7" s="6">
        <v>1988</v>
      </c>
      <c r="E7" s="3">
        <v>9</v>
      </c>
      <c r="F7" s="3">
        <v>5</v>
      </c>
      <c r="G7" s="3">
        <v>6</v>
      </c>
      <c r="H7" s="3">
        <f t="shared" si="0"/>
        <v>6.8</v>
      </c>
      <c r="I7" s="6" t="str">
        <f t="shared" si="1"/>
        <v>ĐẠT</v>
      </c>
      <c r="J7" s="2">
        <f t="shared" si="2"/>
        <v>5</v>
      </c>
      <c r="K7" s="2">
        <f t="shared" si="3"/>
        <v>0</v>
      </c>
    </row>
    <row r="8" spans="1:11" x14ac:dyDescent="0.5">
      <c r="A8" s="6">
        <v>6</v>
      </c>
      <c r="B8" s="2" t="s">
        <v>16</v>
      </c>
      <c r="C8" s="6" t="s">
        <v>23</v>
      </c>
      <c r="D8" s="6">
        <v>1987</v>
      </c>
      <c r="E8" s="3">
        <v>6</v>
      </c>
      <c r="F8" s="3">
        <v>6</v>
      </c>
      <c r="G8" s="3">
        <v>8</v>
      </c>
      <c r="H8" s="3">
        <f t="shared" si="0"/>
        <v>6.4</v>
      </c>
      <c r="I8" s="6" t="str">
        <f t="shared" si="1"/>
        <v>ĐẠT</v>
      </c>
      <c r="J8" s="2">
        <f t="shared" si="2"/>
        <v>6</v>
      </c>
      <c r="K8" s="2">
        <f t="shared" si="3"/>
        <v>0</v>
      </c>
    </row>
    <row r="9" spans="1:11" x14ac:dyDescent="0.5">
      <c r="A9" s="6">
        <v>7</v>
      </c>
      <c r="B9" s="2" t="s">
        <v>17</v>
      </c>
      <c r="C9" s="6" t="s">
        <v>18</v>
      </c>
      <c r="D9" s="6">
        <v>1986</v>
      </c>
      <c r="E9" s="3">
        <v>7.5</v>
      </c>
      <c r="F9" s="3">
        <v>5</v>
      </c>
      <c r="G9" s="3">
        <v>6</v>
      </c>
      <c r="H9" s="3">
        <f t="shared" si="0"/>
        <v>6.2</v>
      </c>
      <c r="I9" s="6" t="str">
        <f t="shared" si="1"/>
        <v>ĐẠT</v>
      </c>
      <c r="J9" s="2">
        <f t="shared" si="2"/>
        <v>7</v>
      </c>
      <c r="K9" s="2">
        <f t="shared" si="3"/>
        <v>0</v>
      </c>
    </row>
    <row r="10" spans="1:11" x14ac:dyDescent="0.5">
      <c r="A10" s="6">
        <v>8</v>
      </c>
      <c r="B10" s="2" t="s">
        <v>18</v>
      </c>
      <c r="C10" s="6" t="s">
        <v>18</v>
      </c>
      <c r="D10" s="6">
        <v>1988</v>
      </c>
      <c r="E10" s="3">
        <v>3</v>
      </c>
      <c r="F10" s="3">
        <v>9</v>
      </c>
      <c r="G10" s="3">
        <v>7</v>
      </c>
      <c r="H10" s="3">
        <f t="shared" si="0"/>
        <v>6.2</v>
      </c>
      <c r="I10" s="6" t="str">
        <f t="shared" si="1"/>
        <v>ĐẠT</v>
      </c>
      <c r="J10" s="2">
        <f t="shared" si="2"/>
        <v>7</v>
      </c>
      <c r="K10" s="2">
        <f t="shared" si="3"/>
        <v>0</v>
      </c>
    </row>
    <row r="11" spans="1:11" x14ac:dyDescent="0.5">
      <c r="A11" s="6">
        <v>9</v>
      </c>
      <c r="B11" s="2" t="s">
        <v>19</v>
      </c>
      <c r="C11" s="6" t="s">
        <v>23</v>
      </c>
      <c r="D11" s="6">
        <v>1988</v>
      </c>
      <c r="E11" s="3">
        <v>4</v>
      </c>
      <c r="F11" s="3">
        <v>5</v>
      </c>
      <c r="G11" s="3">
        <v>5.5</v>
      </c>
      <c r="H11" s="3">
        <f t="shared" si="0"/>
        <v>4.7</v>
      </c>
      <c r="I11" s="6" t="str">
        <f t="shared" si="1"/>
        <v>RỚT</v>
      </c>
      <c r="J11" s="2">
        <f t="shared" si="2"/>
        <v>10</v>
      </c>
      <c r="K11" s="2">
        <f t="shared" si="3"/>
        <v>0</v>
      </c>
    </row>
    <row r="12" spans="1:11" x14ac:dyDescent="0.5">
      <c r="A12" s="6">
        <v>10</v>
      </c>
      <c r="B12" s="2" t="s">
        <v>20</v>
      </c>
      <c r="C12" s="6" t="s">
        <v>23</v>
      </c>
      <c r="D12" s="6">
        <v>1988</v>
      </c>
      <c r="E12" s="3">
        <v>4.5</v>
      </c>
      <c r="F12" s="3">
        <v>6</v>
      </c>
      <c r="G12" s="3">
        <v>4</v>
      </c>
      <c r="H12" s="3">
        <f t="shared" si="0"/>
        <v>5</v>
      </c>
      <c r="I12" s="6" t="str">
        <f t="shared" si="1"/>
        <v>ĐẠT</v>
      </c>
      <c r="J12" s="2">
        <f t="shared" si="2"/>
        <v>9</v>
      </c>
      <c r="K12" s="2">
        <f t="shared" si="3"/>
        <v>0</v>
      </c>
    </row>
    <row r="13" spans="1:11" x14ac:dyDescent="0.5">
      <c r="A13" s="6">
        <v>11</v>
      </c>
      <c r="B13" s="2" t="s">
        <v>21</v>
      </c>
      <c r="C13" s="6" t="s">
        <v>18</v>
      </c>
      <c r="D13" s="6">
        <v>1987</v>
      </c>
      <c r="E13" s="3">
        <v>3</v>
      </c>
      <c r="F13" s="3">
        <v>5</v>
      </c>
      <c r="G13" s="3">
        <v>5</v>
      </c>
      <c r="H13" s="3">
        <f t="shared" si="0"/>
        <v>4.2</v>
      </c>
      <c r="I13" s="6" t="str">
        <f t="shared" si="1"/>
        <v>RỚT</v>
      </c>
      <c r="J13" s="2">
        <f t="shared" si="2"/>
        <v>11</v>
      </c>
      <c r="K13" s="2">
        <f t="shared" si="3"/>
        <v>0</v>
      </c>
    </row>
    <row r="14" spans="1:11" x14ac:dyDescent="0.5">
      <c r="A14" s="16">
        <v>12</v>
      </c>
      <c r="B14" s="15" t="s">
        <v>22</v>
      </c>
      <c r="C14" s="16" t="s">
        <v>18</v>
      </c>
      <c r="D14" s="6">
        <v>1988</v>
      </c>
      <c r="E14" s="3">
        <v>4</v>
      </c>
      <c r="F14" s="3">
        <v>3</v>
      </c>
      <c r="G14" s="3">
        <v>5</v>
      </c>
      <c r="H14" s="3">
        <f t="shared" si="0"/>
        <v>3.8</v>
      </c>
      <c r="I14" s="6" t="str">
        <f t="shared" si="1"/>
        <v>RỚT</v>
      </c>
      <c r="J14" s="2">
        <f t="shared" si="2"/>
        <v>12</v>
      </c>
      <c r="K14" s="2">
        <f t="shared" si="3"/>
        <v>0</v>
      </c>
    </row>
    <row r="15" spans="1:11" x14ac:dyDescent="0.5">
      <c r="A15" s="51" t="s">
        <v>25</v>
      </c>
      <c r="B15" s="52"/>
      <c r="C15" s="53"/>
      <c r="D15" s="13"/>
      <c r="E15" s="3">
        <v>6.5</v>
      </c>
      <c r="F15" s="3">
        <v>5.7</v>
      </c>
      <c r="G15" s="3">
        <v>6.5</v>
      </c>
      <c r="H15" s="3">
        <f>AVERAGE(H3:H14)</f>
        <v>6.3416666666666659</v>
      </c>
      <c r="I15" s="2"/>
      <c r="J15" s="2"/>
      <c r="K15" s="2"/>
    </row>
    <row r="16" spans="1:11" x14ac:dyDescent="0.5">
      <c r="A16" s="51" t="s">
        <v>26</v>
      </c>
      <c r="B16" s="52"/>
      <c r="C16" s="53"/>
      <c r="D16" s="13"/>
      <c r="E16" s="3">
        <v>10</v>
      </c>
      <c r="F16" s="3">
        <v>8.5</v>
      </c>
      <c r="G16" s="3">
        <v>9</v>
      </c>
      <c r="H16" s="3">
        <f>MAX(H3:H14)</f>
        <v>9</v>
      </c>
      <c r="I16" s="2"/>
      <c r="J16" s="2"/>
      <c r="K16" s="2"/>
    </row>
    <row r="17" spans="1:11" ht="14.7" thickBot="1" x14ac:dyDescent="0.55000000000000004">
      <c r="A17" s="51" t="s">
        <v>27</v>
      </c>
      <c r="B17" s="52"/>
      <c r="C17" s="53"/>
      <c r="D17" s="14"/>
      <c r="E17" s="5">
        <v>3</v>
      </c>
      <c r="F17" s="5">
        <v>3</v>
      </c>
      <c r="G17" s="5"/>
      <c r="H17" s="5">
        <f>MIN(H3:H14)</f>
        <v>3.8</v>
      </c>
      <c r="I17" s="4"/>
      <c r="J17" s="4"/>
      <c r="K17" s="4"/>
    </row>
  </sheetData>
  <mergeCells count="4">
    <mergeCell ref="A1:K1"/>
    <mergeCell ref="A15:C15"/>
    <mergeCell ref="A16:C16"/>
    <mergeCell ref="A17:C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D22" sqref="D22"/>
    </sheetView>
  </sheetViews>
  <sheetFormatPr defaultRowHeight="14.35" x14ac:dyDescent="0.5"/>
  <cols>
    <col min="2" max="2" width="11.8203125" customWidth="1"/>
    <col min="5" max="5" width="11" customWidth="1"/>
    <col min="6" max="6" width="11.8203125" customWidth="1"/>
    <col min="7" max="7" width="10.52734375" customWidth="1"/>
    <col min="8" max="8" width="10.29296875" customWidth="1"/>
  </cols>
  <sheetData>
    <row r="1" spans="1:8" ht="25.7" x14ac:dyDescent="0.85">
      <c r="A1" s="33" t="s">
        <v>28</v>
      </c>
      <c r="B1" s="34"/>
      <c r="C1" s="34"/>
      <c r="D1" s="34"/>
      <c r="E1" s="34"/>
      <c r="F1" s="34"/>
      <c r="G1" s="34"/>
      <c r="H1" s="35"/>
    </row>
    <row r="2" spans="1:8" x14ac:dyDescent="0.5">
      <c r="A2" s="8" t="s">
        <v>1</v>
      </c>
      <c r="B2" s="7" t="s">
        <v>29</v>
      </c>
      <c r="C2" s="7" t="s">
        <v>30</v>
      </c>
      <c r="D2" s="7" t="s">
        <v>3</v>
      </c>
      <c r="E2" s="7" t="s">
        <v>31</v>
      </c>
      <c r="F2" s="7" t="s">
        <v>32</v>
      </c>
      <c r="G2" s="7" t="s">
        <v>33</v>
      </c>
      <c r="H2" s="9" t="s">
        <v>45</v>
      </c>
    </row>
    <row r="3" spans="1:8" x14ac:dyDescent="0.5">
      <c r="A3" s="21">
        <v>1</v>
      </c>
      <c r="B3" s="6" t="s">
        <v>34</v>
      </c>
      <c r="C3" s="6" t="s">
        <v>35</v>
      </c>
      <c r="D3" s="6" t="s">
        <v>18</v>
      </c>
      <c r="E3" s="2">
        <v>25</v>
      </c>
      <c r="F3" s="2">
        <f>IF(D3="NỮ", 200000, 0)</f>
        <v>0</v>
      </c>
      <c r="G3" s="2">
        <f>IF(E3&gt;=24, 300000,0)</f>
        <v>300000</v>
      </c>
      <c r="H3" s="10">
        <f>IF(OR(AND(D3="NAM",E3&gt;26),AND(D3="NỮ",E3&gt;25)),100000,0)</f>
        <v>0</v>
      </c>
    </row>
    <row r="4" spans="1:8" x14ac:dyDescent="0.5">
      <c r="A4" s="21">
        <v>2</v>
      </c>
      <c r="B4" s="6" t="s">
        <v>36</v>
      </c>
      <c r="C4" s="6" t="s">
        <v>37</v>
      </c>
      <c r="D4" s="6" t="s">
        <v>18</v>
      </c>
      <c r="E4" s="2">
        <v>24</v>
      </c>
      <c r="F4" s="2">
        <f t="shared" ref="F4:F8" si="0">IF(D4="NỮ", 200000, 0)</f>
        <v>0</v>
      </c>
      <c r="G4" s="2">
        <f t="shared" ref="G4:G8" si="1">IF(E4&gt;=24, 300000,0)</f>
        <v>300000</v>
      </c>
      <c r="H4" s="10">
        <f t="shared" ref="H4:H8" si="2">IF(OR(AND(D4="NAM",E4&gt;26),AND(D4="NỮ",E4&gt;25)),100000,0)</f>
        <v>0</v>
      </c>
    </row>
    <row r="5" spans="1:8" x14ac:dyDescent="0.5">
      <c r="A5" s="21">
        <v>3</v>
      </c>
      <c r="B5" s="6" t="s">
        <v>38</v>
      </c>
      <c r="C5" s="6" t="s">
        <v>39</v>
      </c>
      <c r="D5" s="6" t="s">
        <v>23</v>
      </c>
      <c r="E5" s="2">
        <v>26</v>
      </c>
      <c r="F5" s="2">
        <f t="shared" si="0"/>
        <v>200000</v>
      </c>
      <c r="G5" s="2">
        <f t="shared" si="1"/>
        <v>300000</v>
      </c>
      <c r="H5" s="10">
        <f t="shared" si="2"/>
        <v>100000</v>
      </c>
    </row>
    <row r="6" spans="1:8" x14ac:dyDescent="0.5">
      <c r="A6" s="21">
        <v>4</v>
      </c>
      <c r="B6" s="6" t="s">
        <v>40</v>
      </c>
      <c r="C6" s="6" t="s">
        <v>41</v>
      </c>
      <c r="D6" s="6" t="s">
        <v>23</v>
      </c>
      <c r="E6" s="2">
        <v>22</v>
      </c>
      <c r="F6" s="2">
        <f t="shared" si="0"/>
        <v>200000</v>
      </c>
      <c r="G6" s="2">
        <f t="shared" si="1"/>
        <v>0</v>
      </c>
      <c r="H6" s="10">
        <f t="shared" si="2"/>
        <v>0</v>
      </c>
    </row>
    <row r="7" spans="1:8" x14ac:dyDescent="0.5">
      <c r="A7" s="21">
        <v>5</v>
      </c>
      <c r="B7" s="6" t="s">
        <v>42</v>
      </c>
      <c r="C7" s="6" t="s">
        <v>18</v>
      </c>
      <c r="D7" s="6" t="s">
        <v>18</v>
      </c>
      <c r="E7" s="2">
        <v>27</v>
      </c>
      <c r="F7" s="2">
        <f t="shared" si="0"/>
        <v>0</v>
      </c>
      <c r="G7" s="2">
        <f t="shared" si="1"/>
        <v>300000</v>
      </c>
      <c r="H7" s="10">
        <f t="shared" si="2"/>
        <v>100000</v>
      </c>
    </row>
    <row r="8" spans="1:8" ht="14.7" thickBot="1" x14ac:dyDescent="0.55000000000000004">
      <c r="A8" s="22">
        <v>6</v>
      </c>
      <c r="B8" s="11" t="s">
        <v>43</v>
      </c>
      <c r="C8" s="11" t="s">
        <v>44</v>
      </c>
      <c r="D8" s="11" t="s">
        <v>23</v>
      </c>
      <c r="E8" s="4">
        <v>25</v>
      </c>
      <c r="F8" s="4">
        <f t="shared" si="0"/>
        <v>200000</v>
      </c>
      <c r="G8" s="4">
        <f t="shared" si="1"/>
        <v>300000</v>
      </c>
      <c r="H8" s="12">
        <f t="shared" si="2"/>
        <v>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A20" sqref="A20:G20"/>
    </sheetView>
  </sheetViews>
  <sheetFormatPr defaultRowHeight="14.35" x14ac:dyDescent="0.5"/>
  <cols>
    <col min="2" max="2" width="23" customWidth="1"/>
    <col min="4" max="4" width="15.9375" customWidth="1"/>
    <col min="8" max="8" width="12.46875" customWidth="1"/>
    <col min="10" max="10" width="12.234375" customWidth="1"/>
    <col min="11" max="11" width="14.76171875" customWidth="1"/>
  </cols>
  <sheetData>
    <row r="1" spans="1:11" ht="30" customHeight="1" thickBot="1" x14ac:dyDescent="0.55000000000000004">
      <c r="A1" s="37" t="s">
        <v>1</v>
      </c>
      <c r="B1" s="38" t="s">
        <v>46</v>
      </c>
      <c r="C1" s="38" t="s">
        <v>47</v>
      </c>
      <c r="D1" s="38" t="s">
        <v>48</v>
      </c>
      <c r="E1" s="38" t="s">
        <v>49</v>
      </c>
      <c r="F1" s="38" t="s">
        <v>50</v>
      </c>
      <c r="G1" s="39" t="s">
        <v>89</v>
      </c>
      <c r="H1" s="39" t="s">
        <v>51</v>
      </c>
      <c r="I1" s="39" t="s">
        <v>91</v>
      </c>
      <c r="J1" s="40" t="s">
        <v>52</v>
      </c>
      <c r="K1" s="7" t="s">
        <v>90</v>
      </c>
    </row>
    <row r="2" spans="1:11" ht="14.7" thickBot="1" x14ac:dyDescent="0.55000000000000004">
      <c r="A2" s="21">
        <v>1</v>
      </c>
      <c r="B2" s="2" t="s">
        <v>53</v>
      </c>
      <c r="C2" s="6" t="s">
        <v>66</v>
      </c>
      <c r="D2" s="6" t="s">
        <v>75</v>
      </c>
      <c r="E2" s="6">
        <v>120000</v>
      </c>
      <c r="F2" s="24">
        <v>25</v>
      </c>
      <c r="G2" s="25">
        <f>2025-RIGHT(D2,4)</f>
        <v>58</v>
      </c>
      <c r="H2" s="17">
        <f>E2*F2</f>
        <v>3000000</v>
      </c>
      <c r="I2" s="27">
        <f>IF(C2="GĐ",500000,IF(C2="PGĐ",400000,IF(C2="TP",300000,IF(C2="PP",200000,100000))))</f>
        <v>300000</v>
      </c>
      <c r="J2" s="28">
        <f>H2*80%</f>
        <v>2400000</v>
      </c>
      <c r="K2" s="2">
        <f>H2+I2-J2</f>
        <v>900000</v>
      </c>
    </row>
    <row r="3" spans="1:11" ht="14.7" thickBot="1" x14ac:dyDescent="0.55000000000000004">
      <c r="A3" s="21">
        <v>2</v>
      </c>
      <c r="B3" s="2" t="s">
        <v>74</v>
      </c>
      <c r="C3" s="6" t="s">
        <v>67</v>
      </c>
      <c r="D3" s="6" t="s">
        <v>76</v>
      </c>
      <c r="E3" s="6">
        <v>160000</v>
      </c>
      <c r="F3" s="24">
        <v>24</v>
      </c>
      <c r="G3" s="25">
        <f t="shared" ref="G3:G16" si="0">2025-RIGHT(D3,4)</f>
        <v>50</v>
      </c>
      <c r="H3" s="17">
        <f t="shared" ref="H3:H16" si="1">E3*F3</f>
        <v>3840000</v>
      </c>
      <c r="I3" s="27">
        <f t="shared" ref="I3:I16" si="2">IF(C3="GĐ",500000,IF(C3="PGĐ",400000,IF(C3="TP",300000,IF(C3="PP",200000,100000))))</f>
        <v>100000</v>
      </c>
      <c r="J3" s="28">
        <f t="shared" ref="J3:J15" si="3">H3*80%</f>
        <v>3072000</v>
      </c>
      <c r="K3" s="2">
        <f t="shared" ref="K3:K16" si="4">H3+I3-J3</f>
        <v>868000</v>
      </c>
    </row>
    <row r="4" spans="1:11" ht="14.7" thickBot="1" x14ac:dyDescent="0.55000000000000004">
      <c r="A4" s="21">
        <v>3</v>
      </c>
      <c r="B4" s="2" t="s">
        <v>54</v>
      </c>
      <c r="C4" s="6" t="s">
        <v>68</v>
      </c>
      <c r="D4" s="6" t="s">
        <v>77</v>
      </c>
      <c r="E4" s="6">
        <v>150000</v>
      </c>
      <c r="F4" s="24">
        <v>26</v>
      </c>
      <c r="G4" s="25">
        <f t="shared" si="0"/>
        <v>57</v>
      </c>
      <c r="H4" s="17">
        <f t="shared" si="1"/>
        <v>3900000</v>
      </c>
      <c r="I4" s="27">
        <f t="shared" si="2"/>
        <v>200000</v>
      </c>
      <c r="J4" s="28">
        <f t="shared" si="3"/>
        <v>3120000</v>
      </c>
      <c r="K4" s="2">
        <f t="shared" si="4"/>
        <v>980000</v>
      </c>
    </row>
    <row r="5" spans="1:11" ht="14.7" thickBot="1" x14ac:dyDescent="0.55000000000000004">
      <c r="A5" s="21">
        <v>4</v>
      </c>
      <c r="B5" s="2" t="s">
        <v>55</v>
      </c>
      <c r="C5" s="6" t="s">
        <v>67</v>
      </c>
      <c r="D5" s="6" t="s">
        <v>78</v>
      </c>
      <c r="E5" s="6">
        <v>130000</v>
      </c>
      <c r="F5" s="24">
        <v>20</v>
      </c>
      <c r="G5" s="25">
        <f t="shared" si="0"/>
        <v>67</v>
      </c>
      <c r="H5" s="17">
        <f t="shared" si="1"/>
        <v>2600000</v>
      </c>
      <c r="I5" s="27">
        <f t="shared" si="2"/>
        <v>100000</v>
      </c>
      <c r="J5" s="28">
        <f t="shared" si="3"/>
        <v>2080000</v>
      </c>
      <c r="K5" s="2">
        <f t="shared" si="4"/>
        <v>620000</v>
      </c>
    </row>
    <row r="6" spans="1:11" ht="14.7" thickBot="1" x14ac:dyDescent="0.55000000000000004">
      <c r="A6" s="21">
        <v>5</v>
      </c>
      <c r="B6" s="2" t="s">
        <v>56</v>
      </c>
      <c r="C6" s="6" t="s">
        <v>69</v>
      </c>
      <c r="D6" s="6" t="s">
        <v>79</v>
      </c>
      <c r="E6" s="6">
        <v>180000</v>
      </c>
      <c r="F6" s="24">
        <v>23</v>
      </c>
      <c r="G6" s="25">
        <f t="shared" si="0"/>
        <v>47</v>
      </c>
      <c r="H6" s="17">
        <f t="shared" si="1"/>
        <v>4140000</v>
      </c>
      <c r="I6" s="27">
        <f t="shared" si="2"/>
        <v>100000</v>
      </c>
      <c r="J6" s="28">
        <f t="shared" si="3"/>
        <v>3312000</v>
      </c>
      <c r="K6" s="2">
        <f t="shared" si="4"/>
        <v>928000</v>
      </c>
    </row>
    <row r="7" spans="1:11" ht="14.7" thickBot="1" x14ac:dyDescent="0.55000000000000004">
      <c r="A7" s="21">
        <v>6</v>
      </c>
      <c r="B7" s="2" t="s">
        <v>57</v>
      </c>
      <c r="C7" s="6" t="s">
        <v>70</v>
      </c>
      <c r="D7" s="6" t="s">
        <v>80</v>
      </c>
      <c r="E7" s="6">
        <v>150000</v>
      </c>
      <c r="F7" s="24">
        <v>24</v>
      </c>
      <c r="G7" s="25">
        <f t="shared" si="0"/>
        <v>56</v>
      </c>
      <c r="H7" s="17">
        <f t="shared" si="1"/>
        <v>3600000</v>
      </c>
      <c r="I7" s="27">
        <f t="shared" si="2"/>
        <v>100000</v>
      </c>
      <c r="J7" s="28">
        <f t="shared" si="3"/>
        <v>2880000</v>
      </c>
      <c r="K7" s="2">
        <f t="shared" si="4"/>
        <v>820000</v>
      </c>
    </row>
    <row r="8" spans="1:11" ht="14.7" thickBot="1" x14ac:dyDescent="0.55000000000000004">
      <c r="A8" s="21">
        <v>7</v>
      </c>
      <c r="B8" s="2" t="s">
        <v>58</v>
      </c>
      <c r="C8" s="6" t="s">
        <v>68</v>
      </c>
      <c r="D8" s="6" t="s">
        <v>81</v>
      </c>
      <c r="E8" s="6">
        <v>140000</v>
      </c>
      <c r="F8" s="24">
        <v>27</v>
      </c>
      <c r="G8" s="25">
        <f t="shared" si="0"/>
        <v>56</v>
      </c>
      <c r="H8" s="17">
        <f t="shared" si="1"/>
        <v>3780000</v>
      </c>
      <c r="I8" s="27">
        <f t="shared" si="2"/>
        <v>200000</v>
      </c>
      <c r="J8" s="28">
        <f t="shared" si="3"/>
        <v>3024000</v>
      </c>
      <c r="K8" s="2">
        <f t="shared" si="4"/>
        <v>956000</v>
      </c>
    </row>
    <row r="9" spans="1:11" ht="14.7" thickBot="1" x14ac:dyDescent="0.55000000000000004">
      <c r="A9" s="21">
        <v>8</v>
      </c>
      <c r="B9" s="2" t="s">
        <v>59</v>
      </c>
      <c r="C9" s="6" t="s">
        <v>71</v>
      </c>
      <c r="D9" s="23">
        <v>20648</v>
      </c>
      <c r="E9" s="6">
        <v>160000</v>
      </c>
      <c r="F9" s="24">
        <v>14</v>
      </c>
      <c r="G9" s="25">
        <v>69</v>
      </c>
      <c r="H9" s="17">
        <f t="shared" si="1"/>
        <v>2240000</v>
      </c>
      <c r="I9" s="27">
        <f t="shared" si="2"/>
        <v>500000</v>
      </c>
      <c r="J9" s="28">
        <f t="shared" si="3"/>
        <v>1792000</v>
      </c>
      <c r="K9" s="2">
        <f t="shared" si="4"/>
        <v>948000</v>
      </c>
    </row>
    <row r="10" spans="1:11" ht="14.7" thickBot="1" x14ac:dyDescent="0.55000000000000004">
      <c r="A10" s="21">
        <v>9</v>
      </c>
      <c r="B10" s="2" t="s">
        <v>60</v>
      </c>
      <c r="C10" s="6" t="s">
        <v>70</v>
      </c>
      <c r="D10" s="23">
        <v>22046</v>
      </c>
      <c r="E10" s="6">
        <v>150000</v>
      </c>
      <c r="F10" s="24">
        <v>17</v>
      </c>
      <c r="G10" s="25">
        <v>65</v>
      </c>
      <c r="H10" s="17">
        <f t="shared" si="1"/>
        <v>2550000</v>
      </c>
      <c r="I10" s="27">
        <f t="shared" si="2"/>
        <v>100000</v>
      </c>
      <c r="J10" s="28">
        <f t="shared" si="3"/>
        <v>2040000</v>
      </c>
      <c r="K10" s="2">
        <f t="shared" si="4"/>
        <v>610000</v>
      </c>
    </row>
    <row r="11" spans="1:11" ht="14.7" thickBot="1" x14ac:dyDescent="0.55000000000000004">
      <c r="A11" s="21">
        <v>10</v>
      </c>
      <c r="B11" s="2" t="s">
        <v>61</v>
      </c>
      <c r="C11" s="6" t="s">
        <v>67</v>
      </c>
      <c r="D11" s="6" t="s">
        <v>82</v>
      </c>
      <c r="E11" s="6">
        <v>130000</v>
      </c>
      <c r="F11" s="24">
        <v>23</v>
      </c>
      <c r="G11" s="25">
        <f t="shared" si="0"/>
        <v>71</v>
      </c>
      <c r="H11" s="17">
        <f t="shared" si="1"/>
        <v>2990000</v>
      </c>
      <c r="I11" s="27">
        <f t="shared" si="2"/>
        <v>100000</v>
      </c>
      <c r="J11" s="28">
        <f t="shared" si="3"/>
        <v>2392000</v>
      </c>
      <c r="K11" s="2">
        <f t="shared" si="4"/>
        <v>698000</v>
      </c>
    </row>
    <row r="12" spans="1:11" ht="14.7" thickBot="1" x14ac:dyDescent="0.55000000000000004">
      <c r="A12" s="21">
        <v>11</v>
      </c>
      <c r="B12" s="2" t="s">
        <v>62</v>
      </c>
      <c r="C12" s="6" t="s">
        <v>66</v>
      </c>
      <c r="D12" s="6" t="s">
        <v>83</v>
      </c>
      <c r="E12" s="6">
        <v>180000</v>
      </c>
      <c r="F12" s="24">
        <v>22</v>
      </c>
      <c r="G12" s="25">
        <f t="shared" si="0"/>
        <v>58</v>
      </c>
      <c r="H12" s="17">
        <f t="shared" si="1"/>
        <v>3960000</v>
      </c>
      <c r="I12" s="27">
        <f t="shared" si="2"/>
        <v>300000</v>
      </c>
      <c r="J12" s="28">
        <f t="shared" si="3"/>
        <v>3168000</v>
      </c>
      <c r="K12" s="2">
        <f t="shared" si="4"/>
        <v>1092000</v>
      </c>
    </row>
    <row r="13" spans="1:11" ht="14.7" thickBot="1" x14ac:dyDescent="0.55000000000000004">
      <c r="A13" s="21">
        <v>12</v>
      </c>
      <c r="B13" s="2" t="s">
        <v>72</v>
      </c>
      <c r="C13" s="6" t="s">
        <v>67</v>
      </c>
      <c r="D13" s="6" t="s">
        <v>84</v>
      </c>
      <c r="E13" s="6">
        <v>150000</v>
      </c>
      <c r="F13" s="24">
        <v>14</v>
      </c>
      <c r="G13" s="25">
        <f t="shared" si="0"/>
        <v>56</v>
      </c>
      <c r="H13" s="17">
        <f t="shared" si="1"/>
        <v>2100000</v>
      </c>
      <c r="I13" s="27">
        <f t="shared" si="2"/>
        <v>100000</v>
      </c>
      <c r="J13" s="28">
        <f t="shared" si="3"/>
        <v>1680000</v>
      </c>
      <c r="K13" s="2">
        <f t="shared" si="4"/>
        <v>520000</v>
      </c>
    </row>
    <row r="14" spans="1:11" ht="14.7" thickBot="1" x14ac:dyDescent="0.55000000000000004">
      <c r="A14" s="21">
        <v>13</v>
      </c>
      <c r="B14" s="2" t="s">
        <v>63</v>
      </c>
      <c r="C14" s="6" t="s">
        <v>73</v>
      </c>
      <c r="D14" s="23">
        <v>21467</v>
      </c>
      <c r="E14" s="6">
        <v>180000</v>
      </c>
      <c r="F14" s="24">
        <v>23</v>
      </c>
      <c r="G14" s="25">
        <v>67</v>
      </c>
      <c r="H14" s="17">
        <f t="shared" si="1"/>
        <v>4140000</v>
      </c>
      <c r="I14" s="27">
        <f t="shared" si="2"/>
        <v>400000</v>
      </c>
      <c r="J14" s="28">
        <f t="shared" si="3"/>
        <v>3312000</v>
      </c>
      <c r="K14" s="2">
        <f t="shared" si="4"/>
        <v>1228000</v>
      </c>
    </row>
    <row r="15" spans="1:11" ht="14.7" thickBot="1" x14ac:dyDescent="0.55000000000000004">
      <c r="A15" s="21">
        <v>14</v>
      </c>
      <c r="B15" s="2" t="s">
        <v>64</v>
      </c>
      <c r="C15" s="6" t="s">
        <v>66</v>
      </c>
      <c r="D15" s="6" t="s">
        <v>85</v>
      </c>
      <c r="E15" s="6">
        <v>160000</v>
      </c>
      <c r="F15" s="24">
        <v>27</v>
      </c>
      <c r="G15" s="25">
        <f t="shared" si="0"/>
        <v>71</v>
      </c>
      <c r="H15" s="17">
        <f t="shared" si="1"/>
        <v>4320000</v>
      </c>
      <c r="I15" s="27">
        <f t="shared" si="2"/>
        <v>300000</v>
      </c>
      <c r="J15" s="28">
        <f t="shared" si="3"/>
        <v>3456000</v>
      </c>
      <c r="K15" s="2">
        <f t="shared" si="4"/>
        <v>1164000</v>
      </c>
    </row>
    <row r="16" spans="1:11" ht="14.7" thickBot="1" x14ac:dyDescent="0.55000000000000004">
      <c r="A16" s="31">
        <v>15</v>
      </c>
      <c r="B16" s="15" t="s">
        <v>65</v>
      </c>
      <c r="C16" s="16" t="s">
        <v>70</v>
      </c>
      <c r="D16" s="16" t="s">
        <v>86</v>
      </c>
      <c r="E16" s="16">
        <v>130000</v>
      </c>
      <c r="F16" s="29">
        <v>26</v>
      </c>
      <c r="G16" s="26">
        <f t="shared" si="0"/>
        <v>57</v>
      </c>
      <c r="H16" s="17">
        <f t="shared" si="1"/>
        <v>3380000</v>
      </c>
      <c r="I16" s="27">
        <f t="shared" si="2"/>
        <v>100000</v>
      </c>
      <c r="J16" s="28">
        <f t="shared" ref="J16" si="5">H16*80%</f>
        <v>2704000</v>
      </c>
      <c r="K16" s="2">
        <f t="shared" si="4"/>
        <v>776000</v>
      </c>
    </row>
    <row r="17" spans="1:11" ht="14.7" thickBot="1" x14ac:dyDescent="0.55000000000000004">
      <c r="A17" s="47" t="s">
        <v>87</v>
      </c>
      <c r="B17" s="48"/>
      <c r="C17" s="48"/>
      <c r="D17" s="48"/>
      <c r="E17" s="48"/>
      <c r="F17" s="48"/>
      <c r="G17" s="49"/>
      <c r="H17" s="17">
        <f>SUM(H2:H16)</f>
        <v>50540000</v>
      </c>
      <c r="I17" s="17">
        <f>SUM(I2:I16)</f>
        <v>3000000</v>
      </c>
      <c r="J17" s="17">
        <f>SUM(J2:J16)</f>
        <v>40432000</v>
      </c>
      <c r="K17" s="17">
        <f>SUM(K2:K16)</f>
        <v>13108000</v>
      </c>
    </row>
    <row r="18" spans="1:11" ht="14.7" thickBot="1" x14ac:dyDescent="0.55000000000000004">
      <c r="A18" s="47" t="s">
        <v>88</v>
      </c>
      <c r="B18" s="48"/>
      <c r="C18" s="48"/>
      <c r="D18" s="48"/>
      <c r="E18" s="48"/>
      <c r="F18" s="48"/>
      <c r="G18" s="50"/>
      <c r="H18" s="30">
        <f>AVERAGE(H2:H16)</f>
        <v>3369333.3333333335</v>
      </c>
      <c r="I18" s="30">
        <f t="shared" ref="I18:K18" si="6">AVERAGE(I2:I16)</f>
        <v>200000</v>
      </c>
      <c r="J18" s="30">
        <f t="shared" si="6"/>
        <v>2695466.6666666665</v>
      </c>
      <c r="K18" s="30">
        <f t="shared" si="6"/>
        <v>873866.66666666663</v>
      </c>
    </row>
    <row r="19" spans="1:11" ht="14.7" thickBot="1" x14ac:dyDescent="0.55000000000000004">
      <c r="A19" s="47" t="s">
        <v>26</v>
      </c>
      <c r="B19" s="48"/>
      <c r="C19" s="48"/>
      <c r="D19" s="48"/>
      <c r="E19" s="48"/>
      <c r="F19" s="48"/>
      <c r="G19" s="50"/>
      <c r="H19" s="30">
        <f>MAX(H2:H16)</f>
        <v>4320000</v>
      </c>
      <c r="I19" s="30">
        <f t="shared" ref="I19:K19" si="7">MAX(I2:I16)</f>
        <v>500000</v>
      </c>
      <c r="J19" s="30">
        <f t="shared" si="7"/>
        <v>3456000</v>
      </c>
      <c r="K19" s="30">
        <f t="shared" si="7"/>
        <v>1228000</v>
      </c>
    </row>
    <row r="20" spans="1:11" x14ac:dyDescent="0.5">
      <c r="A20" s="47" t="s">
        <v>27</v>
      </c>
      <c r="B20" s="48"/>
      <c r="C20" s="48"/>
      <c r="D20" s="48"/>
      <c r="E20" s="48"/>
      <c r="F20" s="48"/>
      <c r="G20" s="50"/>
      <c r="H20" s="30">
        <f>MIN(H2:H16)</f>
        <v>2100000</v>
      </c>
      <c r="I20" s="30">
        <f t="shared" ref="I20:K20" si="8">MIN(I2:I16)</f>
        <v>100000</v>
      </c>
      <c r="J20" s="30">
        <f t="shared" si="8"/>
        <v>1680000</v>
      </c>
      <c r="K20" s="30">
        <f t="shared" si="8"/>
        <v>520000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Normal="100" workbookViewId="0">
      <selection activeCell="K4" sqref="K4"/>
    </sheetView>
  </sheetViews>
  <sheetFormatPr defaultRowHeight="14.35" x14ac:dyDescent="0.5"/>
  <cols>
    <col min="2" max="2" width="8.9375" customWidth="1"/>
    <col min="3" max="3" width="17.703125" customWidth="1"/>
  </cols>
  <sheetData>
    <row r="1" spans="1:10" ht="30" customHeight="1" x14ac:dyDescent="0.5">
      <c r="A1" s="41" t="s">
        <v>1</v>
      </c>
      <c r="B1" s="41" t="s">
        <v>92</v>
      </c>
      <c r="C1" s="41" t="s">
        <v>93</v>
      </c>
      <c r="D1" s="41" t="s">
        <v>94</v>
      </c>
      <c r="E1" s="41" t="s">
        <v>95</v>
      </c>
      <c r="F1" s="41" t="s">
        <v>96</v>
      </c>
      <c r="G1" s="41" t="s">
        <v>97</v>
      </c>
      <c r="H1" s="41" t="s">
        <v>98</v>
      </c>
      <c r="I1" s="41" t="s">
        <v>99</v>
      </c>
      <c r="J1" s="41" t="s">
        <v>100</v>
      </c>
    </row>
    <row r="2" spans="1:10" x14ac:dyDescent="0.5">
      <c r="A2" s="42">
        <v>1</v>
      </c>
      <c r="B2" s="2" t="s">
        <v>101</v>
      </c>
      <c r="C2" s="2" t="str">
        <f>VLOOKUP(LEFT(B2,2),$A$13:$E$16,2,0)</f>
        <v>Máy lạnh Panasonic</v>
      </c>
      <c r="D2" s="2">
        <f>VLOOKUP(LEFT(B2,2),$A$13:$E$16,4,0)</f>
        <v>300</v>
      </c>
      <c r="E2" s="2">
        <f>VLOOKUP(LEFT(B2,2),$A$13:$E$16,5,0)</f>
        <v>130</v>
      </c>
      <c r="F2" s="2">
        <f>D2*E2</f>
        <v>39000</v>
      </c>
      <c r="G2" s="2">
        <f>IF(MID(B2,4,1)="A",D2+15,IF(MID(B2,4,1)="B",D2+12,D2+10))</f>
        <v>315</v>
      </c>
      <c r="H2" s="2">
        <f>VLOOKUP(LEFT(B2,2),$A$13:$F$16,6,0)</f>
        <v>100</v>
      </c>
      <c r="I2" s="2">
        <f>G2*H2</f>
        <v>31500</v>
      </c>
      <c r="J2" s="2" t="str">
        <f>IF(E2-H2&gt;=60,"Bán chậm",IF(E2-H2&gt;=30,"Bán được","Bán chạy"))</f>
        <v>Bán được</v>
      </c>
    </row>
    <row r="3" spans="1:10" x14ac:dyDescent="0.5">
      <c r="A3" s="42">
        <v>2</v>
      </c>
      <c r="B3" s="2" t="s">
        <v>102</v>
      </c>
      <c r="C3" s="2" t="str">
        <f t="shared" ref="C3:C9" si="0">VLOOKUP(LEFT(B3,2),$A$13:$E$16,2,0)</f>
        <v>Máy lạnh Panasonic</v>
      </c>
      <c r="D3" s="2">
        <f t="shared" ref="D3:D9" si="1">VLOOKUP(LEFT(B3,2),$A$13:$E$16,4,0)</f>
        <v>300</v>
      </c>
      <c r="E3" s="2">
        <f t="shared" ref="E3:E9" si="2">VLOOKUP(LEFT(B3,2),$A$13:$E$16,5,0)</f>
        <v>130</v>
      </c>
      <c r="F3" s="2">
        <f t="shared" ref="F3:F9" si="3">D3*E3</f>
        <v>39000</v>
      </c>
      <c r="G3" s="2">
        <f t="shared" ref="G3:G9" si="4">IF(MID(B3,4,1)="A",D3+15,IF(MID(B3,4,1)="B",D3+12,D3+10))</f>
        <v>310</v>
      </c>
      <c r="H3" s="2">
        <f t="shared" ref="H3:H9" si="5">VLOOKUP(LEFT(B3,2),$A$13:$F$16,6,0)</f>
        <v>100</v>
      </c>
      <c r="I3" s="2">
        <f t="shared" ref="I3:I9" si="6">G3*H3</f>
        <v>31000</v>
      </c>
      <c r="J3" s="2" t="str">
        <f t="shared" ref="J3:J9" si="7">IF(E3-H3&gt;=60,"Bán chậm",IF(E3-H3&gt;=30,"Bán được","Bán chạy"))</f>
        <v>Bán được</v>
      </c>
    </row>
    <row r="4" spans="1:10" x14ac:dyDescent="0.5">
      <c r="A4" s="42">
        <v>3</v>
      </c>
      <c r="B4" s="2" t="s">
        <v>103</v>
      </c>
      <c r="C4" s="2" t="str">
        <f t="shared" si="0"/>
        <v>Máy lạnh Sanyo</v>
      </c>
      <c r="D4" s="2">
        <f t="shared" si="1"/>
        <v>210</v>
      </c>
      <c r="E4" s="2">
        <f t="shared" si="2"/>
        <v>126</v>
      </c>
      <c r="F4" s="2">
        <f t="shared" si="3"/>
        <v>26460</v>
      </c>
      <c r="G4" s="2">
        <f t="shared" si="4"/>
        <v>222</v>
      </c>
      <c r="H4" s="2">
        <f t="shared" si="5"/>
        <v>85</v>
      </c>
      <c r="I4" s="2">
        <f t="shared" si="6"/>
        <v>18870</v>
      </c>
      <c r="J4" s="2" t="str">
        <f t="shared" si="7"/>
        <v>Bán được</v>
      </c>
    </row>
    <row r="5" spans="1:10" x14ac:dyDescent="0.5">
      <c r="A5" s="42">
        <v>4</v>
      </c>
      <c r="B5" s="2" t="s">
        <v>104</v>
      </c>
      <c r="C5" s="2" t="str">
        <f t="shared" si="0"/>
        <v>Máy lạnh Toshiba</v>
      </c>
      <c r="D5" s="2">
        <f t="shared" si="1"/>
        <v>250</v>
      </c>
      <c r="E5" s="2">
        <f t="shared" si="2"/>
        <v>90</v>
      </c>
      <c r="F5" s="2">
        <f t="shared" si="3"/>
        <v>22500</v>
      </c>
      <c r="G5" s="2">
        <f t="shared" si="4"/>
        <v>260</v>
      </c>
      <c r="H5" s="2">
        <f t="shared" si="5"/>
        <v>60</v>
      </c>
      <c r="I5" s="2">
        <f t="shared" si="6"/>
        <v>15600</v>
      </c>
      <c r="J5" s="2" t="str">
        <f t="shared" si="7"/>
        <v>Bán được</v>
      </c>
    </row>
    <row r="6" spans="1:10" x14ac:dyDescent="0.5">
      <c r="A6" s="42">
        <v>5</v>
      </c>
      <c r="B6" s="2" t="s">
        <v>105</v>
      </c>
      <c r="C6" s="2" t="str">
        <f t="shared" si="0"/>
        <v>Máy lạnh Hitachi</v>
      </c>
      <c r="D6" s="2">
        <f t="shared" si="1"/>
        <v>220</v>
      </c>
      <c r="E6" s="2">
        <f t="shared" si="2"/>
        <v>70</v>
      </c>
      <c r="F6" s="2">
        <f t="shared" si="3"/>
        <v>15400</v>
      </c>
      <c r="G6" s="2">
        <f t="shared" si="4"/>
        <v>230</v>
      </c>
      <c r="H6" s="2">
        <f t="shared" si="5"/>
        <v>30</v>
      </c>
      <c r="I6" s="2">
        <f t="shared" si="6"/>
        <v>6900</v>
      </c>
      <c r="J6" s="2" t="str">
        <f t="shared" si="7"/>
        <v>Bán được</v>
      </c>
    </row>
    <row r="7" spans="1:10" x14ac:dyDescent="0.5">
      <c r="A7" s="42">
        <v>6</v>
      </c>
      <c r="B7" s="2" t="s">
        <v>106</v>
      </c>
      <c r="C7" s="2" t="str">
        <f t="shared" si="0"/>
        <v>Máy lạnh Hitachi</v>
      </c>
      <c r="D7" s="2">
        <f t="shared" si="1"/>
        <v>220</v>
      </c>
      <c r="E7" s="2">
        <f t="shared" si="2"/>
        <v>70</v>
      </c>
      <c r="F7" s="2">
        <f t="shared" si="3"/>
        <v>15400</v>
      </c>
      <c r="G7" s="2">
        <f t="shared" si="4"/>
        <v>235</v>
      </c>
      <c r="H7" s="2">
        <f t="shared" si="5"/>
        <v>30</v>
      </c>
      <c r="I7" s="2">
        <f t="shared" si="6"/>
        <v>7050</v>
      </c>
      <c r="J7" s="2" t="str">
        <f t="shared" si="7"/>
        <v>Bán được</v>
      </c>
    </row>
    <row r="8" spans="1:10" x14ac:dyDescent="0.5">
      <c r="A8" s="42">
        <v>7</v>
      </c>
      <c r="B8" s="2" t="s">
        <v>107</v>
      </c>
      <c r="C8" s="2" t="str">
        <f t="shared" si="0"/>
        <v>Máy lạnh Toshiba</v>
      </c>
      <c r="D8" s="2">
        <f t="shared" si="1"/>
        <v>250</v>
      </c>
      <c r="E8" s="2">
        <f t="shared" si="2"/>
        <v>90</v>
      </c>
      <c r="F8" s="2">
        <f t="shared" si="3"/>
        <v>22500</v>
      </c>
      <c r="G8" s="2">
        <f t="shared" si="4"/>
        <v>262</v>
      </c>
      <c r="H8" s="2">
        <f t="shared" si="5"/>
        <v>60</v>
      </c>
      <c r="I8" s="2">
        <f t="shared" si="6"/>
        <v>15720</v>
      </c>
      <c r="J8" s="2" t="str">
        <f t="shared" si="7"/>
        <v>Bán được</v>
      </c>
    </row>
    <row r="9" spans="1:10" x14ac:dyDescent="0.5">
      <c r="A9" s="42">
        <v>8</v>
      </c>
      <c r="B9" s="2" t="s">
        <v>103</v>
      </c>
      <c r="C9" s="2" t="str">
        <f t="shared" si="0"/>
        <v>Máy lạnh Sanyo</v>
      </c>
      <c r="D9" s="2">
        <f t="shared" si="1"/>
        <v>210</v>
      </c>
      <c r="E9" s="2">
        <f t="shared" si="2"/>
        <v>126</v>
      </c>
      <c r="F9" s="2">
        <f t="shared" si="3"/>
        <v>26460</v>
      </c>
      <c r="G9" s="2">
        <f t="shared" si="4"/>
        <v>222</v>
      </c>
      <c r="H9" s="2">
        <f t="shared" si="5"/>
        <v>85</v>
      </c>
      <c r="I9" s="2">
        <f t="shared" si="6"/>
        <v>18870</v>
      </c>
      <c r="J9" s="2" t="str">
        <f t="shared" si="7"/>
        <v>Bán được</v>
      </c>
    </row>
    <row r="10" spans="1:10" x14ac:dyDescent="0.5">
      <c r="A10" s="46" t="s">
        <v>116</v>
      </c>
      <c r="B10" s="46"/>
      <c r="C10" s="46"/>
      <c r="D10" s="2">
        <f>SUM(D2:D9)</f>
        <v>1960</v>
      </c>
      <c r="E10" s="2">
        <f>SUM(E2:E9)</f>
        <v>832</v>
      </c>
      <c r="F10" s="2">
        <f>SUM(F2:F9)</f>
        <v>206720</v>
      </c>
      <c r="G10" s="2">
        <f>SUM(G2:G9)</f>
        <v>2056</v>
      </c>
      <c r="H10" s="2">
        <f>SUM(H2:H9)</f>
        <v>550</v>
      </c>
      <c r="I10" s="2">
        <f>SUM(I2:I9)</f>
        <v>145510</v>
      </c>
      <c r="J10" s="2"/>
    </row>
    <row r="11" spans="1:10" x14ac:dyDescent="0.5">
      <c r="A11" s="36"/>
    </row>
    <row r="12" spans="1:10" ht="30" customHeight="1" x14ac:dyDescent="0.5">
      <c r="A12" s="43" t="s">
        <v>92</v>
      </c>
      <c r="B12" s="44" t="s">
        <v>93</v>
      </c>
      <c r="C12" s="44"/>
      <c r="D12" s="43" t="s">
        <v>94</v>
      </c>
      <c r="E12" s="43" t="s">
        <v>95</v>
      </c>
      <c r="F12" s="45" t="s">
        <v>98</v>
      </c>
    </row>
    <row r="13" spans="1:10" x14ac:dyDescent="0.5">
      <c r="A13" s="2" t="s">
        <v>108</v>
      </c>
      <c r="B13" s="2" t="s">
        <v>110</v>
      </c>
      <c r="C13" s="2"/>
      <c r="D13" s="2">
        <v>300</v>
      </c>
      <c r="E13" s="2">
        <v>130</v>
      </c>
      <c r="F13" s="2">
        <v>100</v>
      </c>
    </row>
    <row r="14" spans="1:10" x14ac:dyDescent="0.5">
      <c r="A14" s="2" t="s">
        <v>109</v>
      </c>
      <c r="B14" s="2" t="s">
        <v>111</v>
      </c>
      <c r="C14" s="2"/>
      <c r="D14" s="2">
        <v>250</v>
      </c>
      <c r="E14" s="2">
        <v>90</v>
      </c>
      <c r="F14" s="2">
        <v>60</v>
      </c>
    </row>
    <row r="15" spans="1:10" x14ac:dyDescent="0.5">
      <c r="A15" s="2" t="s">
        <v>112</v>
      </c>
      <c r="B15" s="2" t="s">
        <v>113</v>
      </c>
      <c r="C15" s="2"/>
      <c r="D15" s="2">
        <v>210</v>
      </c>
      <c r="E15" s="2">
        <v>126</v>
      </c>
      <c r="F15" s="2">
        <v>85</v>
      </c>
    </row>
    <row r="16" spans="1:10" x14ac:dyDescent="0.5">
      <c r="A16" s="2" t="s">
        <v>114</v>
      </c>
      <c r="B16" s="2" t="s">
        <v>115</v>
      </c>
      <c r="C16" s="2"/>
      <c r="D16" s="2">
        <v>220</v>
      </c>
      <c r="E16" s="2">
        <v>70</v>
      </c>
      <c r="F16" s="2">
        <v>30</v>
      </c>
    </row>
    <row r="19" spans="1:10" ht="31.35" x14ac:dyDescent="0.5">
      <c r="A19" s="41" t="s">
        <v>1</v>
      </c>
      <c r="B19" s="41" t="s">
        <v>92</v>
      </c>
      <c r="C19" s="41" t="s">
        <v>93</v>
      </c>
      <c r="D19" s="41" t="s">
        <v>94</v>
      </c>
      <c r="E19" s="41" t="s">
        <v>95</v>
      </c>
      <c r="F19" s="41" t="s">
        <v>96</v>
      </c>
      <c r="G19" s="41" t="s">
        <v>97</v>
      </c>
      <c r="H19" s="41" t="s">
        <v>98</v>
      </c>
      <c r="I19" s="41" t="s">
        <v>99</v>
      </c>
      <c r="J19" s="41" t="s">
        <v>100</v>
      </c>
    </row>
    <row r="20" spans="1:10" x14ac:dyDescent="0.5">
      <c r="A20" s="42">
        <v>1</v>
      </c>
      <c r="B20" s="2" t="s">
        <v>101</v>
      </c>
      <c r="C20" s="2" t="str">
        <f>VLOOKUP(LEFT(B20,2),$A$13:$E$16,2,0)</f>
        <v>Máy lạnh Panasonic</v>
      </c>
      <c r="D20" s="2">
        <f>VLOOKUP(LEFT(B20,2),$A$13:$E$16,4,0)</f>
        <v>300</v>
      </c>
      <c r="E20" s="2">
        <f>VLOOKUP(LEFT(B20,2),$A$13:$E$16,5,0)</f>
        <v>130</v>
      </c>
      <c r="F20" s="2">
        <f>D20*E20</f>
        <v>39000</v>
      </c>
      <c r="G20" s="2">
        <f>IF(MID(B20,4,1)="A",D20+15,IF(MID(B20,4,1)="B",D20+12,D20+10))</f>
        <v>315</v>
      </c>
      <c r="H20" s="2">
        <f>VLOOKUP(LEFT(B20,2),$A$13:$F$16,6,0)</f>
        <v>100</v>
      </c>
      <c r="I20" s="2">
        <f>G20*H20</f>
        <v>31500</v>
      </c>
      <c r="J20" s="2" t="str">
        <f>IF(E20-H20&gt;=60,"Bán chậm",IF(E20-H20&gt;=30,"Bán được","Bán chạy"))</f>
        <v>Bán được</v>
      </c>
    </row>
    <row r="21" spans="1:10" x14ac:dyDescent="0.5">
      <c r="A21" s="42">
        <v>2</v>
      </c>
      <c r="B21" s="2" t="s">
        <v>102</v>
      </c>
      <c r="C21" s="2" t="str">
        <f t="shared" ref="C21" si="8">VLOOKUP(LEFT(B21,2),$A$13:$E$16,2,0)</f>
        <v>Máy lạnh Panasonic</v>
      </c>
      <c r="D21" s="2">
        <f t="shared" ref="D21" si="9">VLOOKUP(LEFT(B21,2),$A$13:$E$16,4,0)</f>
        <v>300</v>
      </c>
      <c r="E21" s="2">
        <f t="shared" ref="E21" si="10">VLOOKUP(LEFT(B21,2),$A$13:$E$16,5,0)</f>
        <v>130</v>
      </c>
      <c r="F21" s="2">
        <f t="shared" ref="F21" si="11">D21*E21</f>
        <v>39000</v>
      </c>
      <c r="G21" s="2">
        <f t="shared" ref="G21" si="12">IF(MID(B21,4,1)="A",D21+15,IF(MID(B21,4,1)="B",D21+12,D21+10))</f>
        <v>310</v>
      </c>
      <c r="H21" s="2">
        <f t="shared" ref="H21" si="13">VLOOKUP(LEFT(B21,2),$A$13:$F$16,6,0)</f>
        <v>100</v>
      </c>
      <c r="I21" s="2">
        <f t="shared" ref="I21" si="14">G21*H21</f>
        <v>31000</v>
      </c>
      <c r="J21" s="2" t="str">
        <f t="shared" ref="J21" si="15">IF(E21-H21&gt;=60,"Bán chậm",IF(E21-H21&gt;=30,"Bán được","Bán chạy"))</f>
        <v>Bán được</v>
      </c>
    </row>
  </sheetData>
  <mergeCells count="2">
    <mergeCell ref="B12:C12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2025-12-22T04:22:14Z</dcterms:created>
  <dcterms:modified xsi:type="dcterms:W3CDTF">2025-12-22T15:51:05Z</dcterms:modified>
</cp:coreProperties>
</file>