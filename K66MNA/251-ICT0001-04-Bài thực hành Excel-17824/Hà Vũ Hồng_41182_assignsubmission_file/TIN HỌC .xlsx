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96759D120CE5/Tài liệu/"/>
    </mc:Choice>
  </mc:AlternateContent>
  <xr:revisionPtr revIDLastSave="1010" documentId="8_{9BE03D10-8FDD-4790-9E21-05243D746831}" xr6:coauthVersionLast="47" xr6:coauthVersionMax="47" xr10:uidLastSave="{DFB6AA39-7761-466A-8949-2964E857CF54}"/>
  <bookViews>
    <workbookView xWindow="-108" yWindow="-108" windowWidth="23256" windowHeight="12456" xr2:uid="{DD0109F0-9B1E-4D0B-B1D3-99C89556DE28}"/>
  </bookViews>
  <sheets>
    <sheet name="Sheet1" sheetId="1" r:id="rId1"/>
  </sheets>
  <definedNames>
    <definedName name="_xlnm._FilterDatabase" localSheetId="0" hidden="1">Sheet1!$D$76:$M$79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5" i="1"/>
  <c r="G59" i="1"/>
  <c r="G60" i="1"/>
  <c r="G61" i="1"/>
  <c r="G62" i="1"/>
  <c r="G63" i="1"/>
  <c r="J63" i="1" s="1"/>
  <c r="G64" i="1"/>
  <c r="J64" i="1" s="1"/>
  <c r="L64" i="1" s="1"/>
  <c r="G65" i="1"/>
  <c r="J65" i="1" s="1"/>
  <c r="K59" i="1"/>
  <c r="K60" i="1"/>
  <c r="M60" i="1" s="1"/>
  <c r="K61" i="1"/>
  <c r="K62" i="1"/>
  <c r="K63" i="1"/>
  <c r="M63" i="1" s="1"/>
  <c r="K64" i="1"/>
  <c r="K65" i="1"/>
  <c r="K58" i="1"/>
  <c r="H59" i="1"/>
  <c r="M59" i="1" s="1"/>
  <c r="H60" i="1"/>
  <c r="H61" i="1"/>
  <c r="H62" i="1"/>
  <c r="H63" i="1"/>
  <c r="H64" i="1"/>
  <c r="H65" i="1"/>
  <c r="H58" i="1"/>
  <c r="M58" i="1" s="1"/>
  <c r="G58" i="1"/>
  <c r="I58" i="1" s="1"/>
  <c r="F59" i="1"/>
  <c r="F60" i="1"/>
  <c r="F61" i="1"/>
  <c r="F62" i="1"/>
  <c r="F63" i="1"/>
  <c r="F64" i="1"/>
  <c r="F65" i="1"/>
  <c r="F58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M37" i="1"/>
  <c r="M38" i="1"/>
  <c r="M39" i="1"/>
  <c r="M40" i="1"/>
  <c r="M41" i="1"/>
  <c r="M45" i="1"/>
  <c r="M49" i="1"/>
  <c r="M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35" i="1"/>
  <c r="L50" i="1" s="1"/>
  <c r="I27" i="1"/>
  <c r="K28" i="1"/>
  <c r="K29" i="1"/>
  <c r="K30" i="1"/>
  <c r="K27" i="1"/>
  <c r="J26" i="1"/>
  <c r="J27" i="1"/>
  <c r="J28" i="1"/>
  <c r="J29" i="1"/>
  <c r="J30" i="1"/>
  <c r="J25" i="1"/>
  <c r="I28" i="1"/>
  <c r="I29" i="1"/>
  <c r="I30" i="1"/>
  <c r="K25" i="1"/>
  <c r="K36" i="1"/>
  <c r="K51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M42" i="1" s="1"/>
  <c r="K43" i="1"/>
  <c r="M43" i="1" s="1"/>
  <c r="K44" i="1"/>
  <c r="M44" i="1" s="1"/>
  <c r="K45" i="1"/>
  <c r="N45" i="1" s="1"/>
  <c r="K46" i="1"/>
  <c r="K47" i="1"/>
  <c r="K48" i="1"/>
  <c r="M48" i="1" s="1"/>
  <c r="K49" i="1"/>
  <c r="N49" i="1" s="1"/>
  <c r="K35" i="1"/>
  <c r="N35" i="1" s="1"/>
  <c r="K26" i="1"/>
  <c r="I19" i="1"/>
  <c r="J19" i="1"/>
  <c r="I26" i="1"/>
  <c r="I25" i="1"/>
  <c r="I17" i="1"/>
  <c r="J17" i="1"/>
  <c r="H17" i="1"/>
  <c r="H19" i="1"/>
  <c r="I18" i="1"/>
  <c r="J18" i="1"/>
  <c r="H18" i="1"/>
  <c r="K6" i="1"/>
  <c r="K7" i="1"/>
  <c r="K8" i="1"/>
  <c r="L8" i="1" s="1"/>
  <c r="K9" i="1"/>
  <c r="K10" i="1"/>
  <c r="K11" i="1"/>
  <c r="K12" i="1"/>
  <c r="K13" i="1"/>
  <c r="K14" i="1"/>
  <c r="K15" i="1"/>
  <c r="K16" i="1"/>
  <c r="K5" i="1"/>
  <c r="N47" i="1" l="1"/>
  <c r="N48" i="1"/>
  <c r="N44" i="1"/>
  <c r="K50" i="1"/>
  <c r="L51" i="1"/>
  <c r="N43" i="1"/>
  <c r="K52" i="1"/>
  <c r="N42" i="1"/>
  <c r="L52" i="1"/>
  <c r="M36" i="1"/>
  <c r="M51" i="1" s="1"/>
  <c r="L65" i="1"/>
  <c r="M47" i="1"/>
  <c r="M46" i="1"/>
  <c r="N46" i="1" s="1"/>
  <c r="L53" i="1"/>
  <c r="L63" i="1"/>
  <c r="K53" i="1"/>
  <c r="K66" i="1"/>
  <c r="M65" i="1"/>
  <c r="M64" i="1"/>
  <c r="G66" i="1"/>
  <c r="J66" i="1" s="1"/>
  <c r="J58" i="1"/>
  <c r="L58" i="1" s="1"/>
  <c r="M62" i="1"/>
  <c r="M61" i="1"/>
  <c r="I64" i="1"/>
  <c r="I65" i="1"/>
  <c r="I63" i="1"/>
  <c r="L66" i="1"/>
  <c r="I62" i="1"/>
  <c r="J62" i="1"/>
  <c r="L62" i="1" s="1"/>
  <c r="I61" i="1"/>
  <c r="I66" i="1" s="1"/>
  <c r="J61" i="1"/>
  <c r="L61" i="1" s="1"/>
  <c r="I60" i="1"/>
  <c r="J60" i="1"/>
  <c r="L60" i="1" s="1"/>
  <c r="I59" i="1"/>
  <c r="J59" i="1"/>
  <c r="L59" i="1" s="1"/>
  <c r="H66" i="1"/>
  <c r="J50" i="1"/>
  <c r="J52" i="1"/>
  <c r="J53" i="1"/>
  <c r="J51" i="1"/>
  <c r="K19" i="1"/>
  <c r="M6" i="1"/>
  <c r="N6" i="1" s="1"/>
  <c r="K17" i="1"/>
  <c r="M16" i="1"/>
  <c r="N16" i="1" s="1"/>
  <c r="M15" i="1"/>
  <c r="N15" i="1" s="1"/>
  <c r="M14" i="1"/>
  <c r="N14" i="1" s="1"/>
  <c r="M13" i="1"/>
  <c r="N13" i="1" s="1"/>
  <c r="M11" i="1"/>
  <c r="N11" i="1" s="1"/>
  <c r="M10" i="1"/>
  <c r="N10" i="1" s="1"/>
  <c r="M7" i="1"/>
  <c r="N7" i="1" s="1"/>
  <c r="M12" i="1"/>
  <c r="N12" i="1" s="1"/>
  <c r="M9" i="1"/>
  <c r="N9" i="1" s="1"/>
  <c r="L5" i="1"/>
  <c r="M5" i="1"/>
  <c r="N5" i="1" s="1"/>
  <c r="L12" i="1"/>
  <c r="L11" i="1"/>
  <c r="L10" i="1"/>
  <c r="L9" i="1"/>
  <c r="L6" i="1"/>
  <c r="L16" i="1"/>
  <c r="L14" i="1"/>
  <c r="M8" i="1"/>
  <c r="N8" i="1" s="1"/>
  <c r="K18" i="1"/>
  <c r="L15" i="1"/>
  <c r="L13" i="1"/>
  <c r="L7" i="1"/>
  <c r="N36" i="1" l="1"/>
  <c r="M53" i="1"/>
  <c r="M50" i="1"/>
  <c r="M52" i="1"/>
  <c r="N51" i="1" l="1"/>
  <c r="N50" i="1"/>
  <c r="N53" i="1"/>
  <c r="N52" i="1"/>
</calcChain>
</file>

<file path=xl/sharedStrings.xml><?xml version="1.0" encoding="utf-8"?>
<sst xmlns="http://schemas.openxmlformats.org/spreadsheetml/2006/main" count="166" uniqueCount="114">
  <si>
    <r>
      <rPr>
        <b/>
        <u/>
        <sz val="14"/>
        <color theme="1"/>
        <rFont val="Times New Roman"/>
        <family val="1"/>
      </rPr>
      <t>Bảng tính 1</t>
    </r>
    <r>
      <rPr>
        <sz val="14"/>
        <color theme="1"/>
        <rFont val="Times New Roman"/>
        <family val="2"/>
        <charset val="163"/>
      </rPr>
      <t>:</t>
    </r>
  </si>
  <si>
    <t>KẾT QUẢ THI CUỐI KHÓA</t>
  </si>
  <si>
    <t>STT</t>
  </si>
  <si>
    <t>TÊN HS</t>
  </si>
  <si>
    <t xml:space="preserve">LÂM </t>
  </si>
  <si>
    <t>HẢI</t>
  </si>
  <si>
    <t xml:space="preserve">HIỆP </t>
  </si>
  <si>
    <t>THẢO</t>
  </si>
  <si>
    <t>MINH</t>
  </si>
  <si>
    <t xml:space="preserve">HỒNG </t>
  </si>
  <si>
    <t>LINH</t>
  </si>
  <si>
    <t>NAM</t>
  </si>
  <si>
    <t>DIỄM</t>
  </si>
  <si>
    <t>NGA</t>
  </si>
  <si>
    <t xml:space="preserve">KHOA </t>
  </si>
  <si>
    <t>SƠN</t>
  </si>
  <si>
    <t>TRUNG BÌNH</t>
  </si>
  <si>
    <t>CAO NHẤT</t>
  </si>
  <si>
    <t>THẤP NHẤT</t>
  </si>
  <si>
    <t>PHÁI</t>
  </si>
  <si>
    <t>NỮ</t>
  </si>
  <si>
    <t xml:space="preserve">NỮ 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</si>
  <si>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</si>
  <si>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</si>
  <si>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</si>
  <si>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</si>
  <si>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</si>
  <si>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</si>
  <si>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</si>
  <si>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</si>
  <si>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>Bảng tính 2:</t>
  </si>
  <si>
    <t>DANH SÁCH THƯỞNG THÁNG 03</t>
  </si>
  <si>
    <t>HỌ</t>
  </si>
  <si>
    <t>TRẦN THANH</t>
  </si>
  <si>
    <t>PHẠM HÙNG</t>
  </si>
  <si>
    <t>LÊ NGỌC</t>
  </si>
  <si>
    <t>PHẠM THANH</t>
  </si>
  <si>
    <t>PHẠM HOÀI</t>
  </si>
  <si>
    <t>LÊ THANH</t>
  </si>
  <si>
    <t>TÊN</t>
  </si>
  <si>
    <t xml:space="preserve">TUẤN </t>
  </si>
  <si>
    <t xml:space="preserve">CƯỜNG </t>
  </si>
  <si>
    <t>XUÂN</t>
  </si>
  <si>
    <t>LONG</t>
  </si>
  <si>
    <t>LAN</t>
  </si>
  <si>
    <t>NGÀY CÔNG</t>
  </si>
  <si>
    <t>THƯỞNG 8-3</t>
  </si>
  <si>
    <t>THƯỞNG A</t>
  </si>
  <si>
    <t>THƯỞNG B</t>
  </si>
  <si>
    <t>Bảng tính 3:</t>
  </si>
  <si>
    <t>HỌ VÀ TÊN</t>
  </si>
  <si>
    <t xml:space="preserve">Nguyễn Văn Tâm </t>
  </si>
  <si>
    <t>Nguyễn Thị Hằng</t>
  </si>
  <si>
    <t xml:space="preserve">Ngô Thị Nga </t>
  </si>
  <si>
    <t xml:space="preserve">Trần Thiên Thu </t>
  </si>
  <si>
    <t>Lâm Hoàng Cát</t>
  </si>
  <si>
    <t>Lý Lâm</t>
  </si>
  <si>
    <t>Lê Hoài Sơn</t>
  </si>
  <si>
    <t>Trần Văn Trung</t>
  </si>
  <si>
    <t>Nguyễn Văn Trang</t>
  </si>
  <si>
    <t xml:space="preserve">Lý Thu Nga </t>
  </si>
  <si>
    <t>Nguyễn Văn Hùng</t>
  </si>
  <si>
    <t>Trần Thị Phượng</t>
  </si>
  <si>
    <t>Võ Tấn Thành</t>
  </si>
  <si>
    <t>Lê Văn Minh</t>
  </si>
  <si>
    <t>Doãn Hòa</t>
  </si>
  <si>
    <t>CHỨC VỤ</t>
  </si>
  <si>
    <t>TP</t>
  </si>
  <si>
    <t>NV</t>
  </si>
  <si>
    <t>PP</t>
  </si>
  <si>
    <t>KT</t>
  </si>
  <si>
    <t>BV</t>
  </si>
  <si>
    <t>GĐ</t>
  </si>
  <si>
    <t>PGĐ</t>
  </si>
  <si>
    <t>NĂM SINH</t>
  </si>
  <si>
    <t>LCB</t>
  </si>
  <si>
    <t>NGÀY</t>
  </si>
  <si>
    <t>LƯƠNG</t>
  </si>
  <si>
    <t>TẠM ỨNG</t>
  </si>
  <si>
    <t>TỔNG CỘNG</t>
  </si>
  <si>
    <t>BÌNH QUÂN</t>
  </si>
  <si>
    <t>CÒN LẠI</t>
  </si>
  <si>
    <t>TUỔI</t>
  </si>
  <si>
    <t>THƯỞNG</t>
  </si>
  <si>
    <t>Bảng tính 4:</t>
  </si>
  <si>
    <t>MÃ HÀNG</t>
  </si>
  <si>
    <t xml:space="preserve">TÊN HÀNG 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</si>
  <si>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</si>
  <si>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</si>
  <si>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</si>
  <si>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</si>
  <si>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</si>
  <si>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</si>
  <si>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</si>
  <si>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CỘNG</t>
  </si>
  <si>
    <t>Pa0A12</t>
  </si>
  <si>
    <t>Pa0C15</t>
  </si>
  <si>
    <t>Sa0B2</t>
  </si>
  <si>
    <t>To0C23</t>
  </si>
  <si>
    <t>Hi0C12</t>
  </si>
  <si>
    <t>Hi0A13</t>
  </si>
  <si>
    <t>To0B12</t>
  </si>
  <si>
    <t>Bảng tra dữ liệu các loại máy lạnh:</t>
  </si>
  <si>
    <t>Pa</t>
  </si>
  <si>
    <t>To</t>
  </si>
  <si>
    <t>Sa</t>
  </si>
  <si>
    <t>Hi</t>
  </si>
  <si>
    <t>TÊN HÀNG</t>
  </si>
  <si>
    <t>Máy lạnh Panasonic</t>
  </si>
  <si>
    <t>Máy lạnhTosiba</t>
  </si>
  <si>
    <t>Máy lạnh Sanyo</t>
  </si>
  <si>
    <t>Máy lạnh Hitachi</t>
  </si>
  <si>
    <t>Bán được</t>
  </si>
  <si>
    <t>DANH SÁCH CÁC MẶT HÀNG CÓ TIỀN XUẤT &gt;=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</si>
</sst>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₫-42A]_-;\-* #,##0.00\ [$₫-42A]_-;_-* &quot;-&quot;??\ [$₫-42A]_-;_-@_-"/>
    <numFmt numFmtId="165" formatCode="_-* #,##0\ _₫_-;\-* #,##0\ _₫_-;_-* &quot;-&quot;\ _₫_-;_-@_-"/>
    <numFmt numFmtId="166" formatCode="#,##0_ ;\-#,##0\ "/>
  </numFmts>
  <fonts count="4" x14ac:knownFonts="1">
    <font>
      <sz val="14"/>
      <color theme="1"/>
      <name val="Times New Roman"/>
      <family val="2"/>
      <charset val="163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1" fontId="0" fillId="0" borderId="4" xfId="0" applyNumberFormat="1" applyBorder="1"/>
    <xf numFmtId="1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C7D7-6AEB-4208-82AD-F6A5540A3BCF}">
  <dimension ref="B1:N79"/>
  <sheetViews>
    <sheetView tabSelected="1" topLeftCell="A60" workbookViewId="0">
      <selection activeCell="J35" sqref="J35"/>
    </sheetView>
  </sheetViews>
  <sheetFormatPr defaultRowHeight="18" x14ac:dyDescent="0.35"/>
  <cols>
    <col min="2" max="3" width="8.7265625" customWidth="1"/>
    <col min="4" max="4" width="4.90625" customWidth="1"/>
    <col min="5" max="5" width="16.81640625" customWidth="1"/>
    <col min="6" max="6" width="18" bestFit="1" customWidth="1"/>
    <col min="7" max="7" width="9.90625" bestFit="1" customWidth="1"/>
    <col min="8" max="8" width="13.1796875" customWidth="1"/>
    <col min="9" max="9" width="12.7265625" customWidth="1"/>
    <col min="10" max="10" width="11.6328125" customWidth="1"/>
    <col min="11" max="11" width="11.08984375" customWidth="1"/>
    <col min="12" max="12" width="9.54296875" customWidth="1"/>
    <col min="13" max="13" width="10.453125" customWidth="1"/>
    <col min="14" max="14" width="10.1796875" customWidth="1"/>
  </cols>
  <sheetData>
    <row r="1" spans="2:14" ht="35.4" customHeight="1" x14ac:dyDescent="0.35">
      <c r="B1" s="1" t="s">
        <v>0</v>
      </c>
    </row>
    <row r="2" spans="2:14" ht="18.600000000000001" thickBot="1" x14ac:dyDescent="0.4"/>
    <row r="3" spans="2:14" ht="34.200000000000003" customHeight="1" thickTop="1" thickBot="1" x14ac:dyDescent="0.4">
      <c r="D3" s="29" t="s">
        <v>1</v>
      </c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2:14" ht="38.4" customHeight="1" thickTop="1" thickBot="1" x14ac:dyDescent="0.4">
      <c r="D4" s="4" t="s">
        <v>2</v>
      </c>
      <c r="E4" s="4" t="s">
        <v>3</v>
      </c>
      <c r="F4" s="4" t="s">
        <v>19</v>
      </c>
      <c r="G4" s="4" t="s">
        <v>22</v>
      </c>
      <c r="H4" s="4" t="s">
        <v>23</v>
      </c>
      <c r="I4" s="4" t="s">
        <v>24</v>
      </c>
      <c r="J4" s="5" t="s">
        <v>25</v>
      </c>
      <c r="K4" s="4" t="s">
        <v>26</v>
      </c>
      <c r="L4" s="4" t="s">
        <v>27</v>
      </c>
      <c r="M4" s="6" t="s">
        <v>28</v>
      </c>
      <c r="N4" s="6" t="s">
        <v>29</v>
      </c>
    </row>
    <row r="5" spans="2:14" ht="19.2" thickTop="1" thickBot="1" x14ac:dyDescent="0.4">
      <c r="D5" s="7">
        <v>1</v>
      </c>
      <c r="E5" s="8" t="s">
        <v>4</v>
      </c>
      <c r="F5" s="8" t="s">
        <v>11</v>
      </c>
      <c r="G5" s="8">
        <v>1988</v>
      </c>
      <c r="H5" s="8">
        <v>10</v>
      </c>
      <c r="I5" s="8">
        <v>8</v>
      </c>
      <c r="J5" s="8">
        <v>9</v>
      </c>
      <c r="K5" s="9">
        <f>(H5*2+I5*2+J5)/5</f>
        <v>9</v>
      </c>
      <c r="L5" s="8" t="str">
        <f>IF(K5&gt;=5,"ĐẠT","RỚT")</f>
        <v>ĐẠT</v>
      </c>
      <c r="M5" s="8">
        <f>RANK(K5,$K$5:$K$16)</f>
        <v>1</v>
      </c>
      <c r="N5" s="21">
        <f>IF(M5=1,200000,IF(M5=2,100000,0))</f>
        <v>200000</v>
      </c>
    </row>
    <row r="6" spans="2:14" ht="19.2" thickTop="1" thickBot="1" x14ac:dyDescent="0.4">
      <c r="D6" s="7">
        <v>2</v>
      </c>
      <c r="E6" s="8" t="s">
        <v>5</v>
      </c>
      <c r="F6" s="8" t="s">
        <v>11</v>
      </c>
      <c r="G6" s="8">
        <v>1987</v>
      </c>
      <c r="H6" s="8">
        <v>8</v>
      </c>
      <c r="I6" s="8">
        <v>8.5</v>
      </c>
      <c r="J6" s="8">
        <v>9</v>
      </c>
      <c r="K6" s="9">
        <f t="shared" ref="K6:K16" si="0">(H6*2+I6*2+J6)/5</f>
        <v>8.4</v>
      </c>
      <c r="L6" s="8" t="str">
        <f t="shared" ref="L6:L16" si="1">IF(K6&gt;=5,"ĐẠT","RỚT")</f>
        <v>ĐẠT</v>
      </c>
      <c r="M6" s="8">
        <f t="shared" ref="M6:M16" si="2">RANK(K6,$K$5:$K$16)</f>
        <v>2</v>
      </c>
      <c r="N6" s="21">
        <f>IF(M6=1,200000,IF(M6=2,100000,0))</f>
        <v>100000</v>
      </c>
    </row>
    <row r="7" spans="2:14" ht="19.2" thickTop="1" thickBot="1" x14ac:dyDescent="0.4">
      <c r="D7" s="7">
        <v>3</v>
      </c>
      <c r="E7" s="8" t="s">
        <v>6</v>
      </c>
      <c r="F7" s="8" t="s">
        <v>11</v>
      </c>
      <c r="G7" s="8">
        <v>1986</v>
      </c>
      <c r="H7" s="8">
        <v>9</v>
      </c>
      <c r="I7" s="8">
        <v>8</v>
      </c>
      <c r="J7" s="8">
        <v>7</v>
      </c>
      <c r="K7" s="9">
        <f t="shared" si="0"/>
        <v>8.1999999999999993</v>
      </c>
      <c r="L7" s="8" t="str">
        <f t="shared" si="1"/>
        <v>ĐẠT</v>
      </c>
      <c r="M7" s="8">
        <f t="shared" si="2"/>
        <v>3</v>
      </c>
      <c r="N7" s="8">
        <f t="shared" ref="N7:N16" si="3">IF(M7=1,200,IF(M7=2,100,0))</f>
        <v>0</v>
      </c>
    </row>
    <row r="8" spans="2:14" ht="19.2" thickTop="1" thickBot="1" x14ac:dyDescent="0.4">
      <c r="D8" s="7">
        <v>4</v>
      </c>
      <c r="E8" s="8" t="s">
        <v>7</v>
      </c>
      <c r="F8" s="8" t="s">
        <v>20</v>
      </c>
      <c r="G8" s="8">
        <v>1988</v>
      </c>
      <c r="H8" s="8">
        <v>10</v>
      </c>
      <c r="I8" s="8">
        <v>4</v>
      </c>
      <c r="J8" s="8">
        <v>7</v>
      </c>
      <c r="K8" s="9">
        <f t="shared" si="0"/>
        <v>7</v>
      </c>
      <c r="L8" s="8" t="str">
        <f t="shared" si="1"/>
        <v>ĐẠT</v>
      </c>
      <c r="M8" s="8">
        <f t="shared" si="2"/>
        <v>4</v>
      </c>
      <c r="N8" s="8">
        <f t="shared" si="3"/>
        <v>0</v>
      </c>
    </row>
    <row r="9" spans="2:14" ht="19.2" thickTop="1" thickBot="1" x14ac:dyDescent="0.4">
      <c r="D9" s="7">
        <v>5</v>
      </c>
      <c r="E9" s="8" t="s">
        <v>8</v>
      </c>
      <c r="F9" s="8" t="s">
        <v>11</v>
      </c>
      <c r="G9" s="8">
        <v>1988</v>
      </c>
      <c r="H9" s="8">
        <v>9</v>
      </c>
      <c r="I9" s="8">
        <v>5</v>
      </c>
      <c r="J9" s="8">
        <v>6</v>
      </c>
      <c r="K9" s="9">
        <f t="shared" si="0"/>
        <v>6.8</v>
      </c>
      <c r="L9" s="8" t="str">
        <f t="shared" si="1"/>
        <v>ĐẠT</v>
      </c>
      <c r="M9" s="8">
        <f t="shared" si="2"/>
        <v>5</v>
      </c>
      <c r="N9" s="8">
        <f t="shared" si="3"/>
        <v>0</v>
      </c>
    </row>
    <row r="10" spans="2:14" ht="19.2" thickTop="1" thickBot="1" x14ac:dyDescent="0.4">
      <c r="D10" s="7">
        <v>6</v>
      </c>
      <c r="E10" s="8" t="s">
        <v>9</v>
      </c>
      <c r="F10" s="8" t="s">
        <v>20</v>
      </c>
      <c r="G10" s="8">
        <v>1987</v>
      </c>
      <c r="H10" s="8">
        <v>6</v>
      </c>
      <c r="I10" s="8">
        <v>6</v>
      </c>
      <c r="J10" s="8">
        <v>8</v>
      </c>
      <c r="K10" s="9">
        <f t="shared" si="0"/>
        <v>6.4</v>
      </c>
      <c r="L10" s="8" t="str">
        <f t="shared" si="1"/>
        <v>ĐẠT</v>
      </c>
      <c r="M10" s="8">
        <f t="shared" si="2"/>
        <v>6</v>
      </c>
      <c r="N10" s="8">
        <f t="shared" si="3"/>
        <v>0</v>
      </c>
    </row>
    <row r="11" spans="2:14" ht="19.2" thickTop="1" thickBot="1" x14ac:dyDescent="0.4">
      <c r="D11" s="7">
        <v>7</v>
      </c>
      <c r="E11" s="8" t="s">
        <v>10</v>
      </c>
      <c r="F11" s="8" t="s">
        <v>11</v>
      </c>
      <c r="G11" s="8">
        <v>1986</v>
      </c>
      <c r="H11" s="8">
        <v>7.5</v>
      </c>
      <c r="I11" s="8">
        <v>5</v>
      </c>
      <c r="J11" s="8">
        <v>6</v>
      </c>
      <c r="K11" s="9">
        <f t="shared" si="0"/>
        <v>6.2</v>
      </c>
      <c r="L11" s="8" t="str">
        <f t="shared" si="1"/>
        <v>ĐẠT</v>
      </c>
      <c r="M11" s="8">
        <f t="shared" si="2"/>
        <v>7</v>
      </c>
      <c r="N11" s="8">
        <f t="shared" si="3"/>
        <v>0</v>
      </c>
    </row>
    <row r="12" spans="2:14" ht="19.2" thickTop="1" thickBot="1" x14ac:dyDescent="0.4">
      <c r="D12" s="7">
        <v>8</v>
      </c>
      <c r="E12" s="8" t="s">
        <v>11</v>
      </c>
      <c r="F12" s="8" t="s">
        <v>11</v>
      </c>
      <c r="G12" s="8">
        <v>1988</v>
      </c>
      <c r="H12" s="8">
        <v>3</v>
      </c>
      <c r="I12" s="8">
        <v>9</v>
      </c>
      <c r="J12" s="8">
        <v>7</v>
      </c>
      <c r="K12" s="9">
        <f t="shared" si="0"/>
        <v>6.2</v>
      </c>
      <c r="L12" s="8" t="str">
        <f t="shared" si="1"/>
        <v>ĐẠT</v>
      </c>
      <c r="M12" s="8">
        <f t="shared" si="2"/>
        <v>7</v>
      </c>
      <c r="N12" s="8">
        <f t="shared" si="3"/>
        <v>0</v>
      </c>
    </row>
    <row r="13" spans="2:14" ht="19.2" thickTop="1" thickBot="1" x14ac:dyDescent="0.4">
      <c r="D13" s="7">
        <v>9</v>
      </c>
      <c r="E13" s="8" t="s">
        <v>12</v>
      </c>
      <c r="F13" s="8" t="s">
        <v>21</v>
      </c>
      <c r="G13" s="8">
        <v>1988</v>
      </c>
      <c r="H13" s="8">
        <v>4</v>
      </c>
      <c r="I13" s="8">
        <v>5</v>
      </c>
      <c r="J13" s="8">
        <v>5.5</v>
      </c>
      <c r="K13" s="9">
        <f t="shared" si="0"/>
        <v>4.7</v>
      </c>
      <c r="L13" s="8" t="str">
        <f t="shared" si="1"/>
        <v>RỚT</v>
      </c>
      <c r="M13" s="8">
        <f t="shared" si="2"/>
        <v>10</v>
      </c>
      <c r="N13" s="8">
        <f t="shared" si="3"/>
        <v>0</v>
      </c>
    </row>
    <row r="14" spans="2:14" ht="19.2" thickTop="1" thickBot="1" x14ac:dyDescent="0.4">
      <c r="D14" s="7">
        <v>10</v>
      </c>
      <c r="E14" s="8" t="s">
        <v>13</v>
      </c>
      <c r="F14" s="8" t="s">
        <v>20</v>
      </c>
      <c r="G14" s="8">
        <v>1988</v>
      </c>
      <c r="H14" s="8">
        <v>4.5</v>
      </c>
      <c r="I14" s="8">
        <v>6</v>
      </c>
      <c r="J14" s="8">
        <v>4</v>
      </c>
      <c r="K14" s="9">
        <f t="shared" si="0"/>
        <v>5</v>
      </c>
      <c r="L14" s="8" t="str">
        <f t="shared" si="1"/>
        <v>ĐẠT</v>
      </c>
      <c r="M14" s="8">
        <f t="shared" si="2"/>
        <v>9</v>
      </c>
      <c r="N14" s="8">
        <f t="shared" si="3"/>
        <v>0</v>
      </c>
    </row>
    <row r="15" spans="2:14" ht="19.2" thickTop="1" thickBot="1" x14ac:dyDescent="0.4">
      <c r="D15" s="7">
        <v>11</v>
      </c>
      <c r="E15" s="8" t="s">
        <v>14</v>
      </c>
      <c r="F15" s="8" t="s">
        <v>11</v>
      </c>
      <c r="G15" s="8">
        <v>1987</v>
      </c>
      <c r="H15" s="8">
        <v>3</v>
      </c>
      <c r="I15" s="8">
        <v>5</v>
      </c>
      <c r="J15" s="8">
        <v>5</v>
      </c>
      <c r="K15" s="9">
        <f t="shared" si="0"/>
        <v>4.2</v>
      </c>
      <c r="L15" s="8" t="str">
        <f t="shared" si="1"/>
        <v>RỚT</v>
      </c>
      <c r="M15" s="8">
        <f t="shared" si="2"/>
        <v>11</v>
      </c>
      <c r="N15" s="8">
        <f t="shared" si="3"/>
        <v>0</v>
      </c>
    </row>
    <row r="16" spans="2:14" ht="19.2" thickTop="1" thickBot="1" x14ac:dyDescent="0.4">
      <c r="D16" s="7">
        <v>12</v>
      </c>
      <c r="E16" s="8" t="s">
        <v>15</v>
      </c>
      <c r="F16" s="8" t="s">
        <v>11</v>
      </c>
      <c r="G16" s="8">
        <v>1986</v>
      </c>
      <c r="H16" s="8">
        <v>4</v>
      </c>
      <c r="I16" s="8">
        <v>3</v>
      </c>
      <c r="J16" s="8">
        <v>5</v>
      </c>
      <c r="K16" s="9">
        <f t="shared" si="0"/>
        <v>3.8</v>
      </c>
      <c r="L16" s="8" t="str">
        <f t="shared" si="1"/>
        <v>RỚT</v>
      </c>
      <c r="M16" s="8">
        <f t="shared" si="2"/>
        <v>12</v>
      </c>
      <c r="N16" s="8">
        <f t="shared" si="3"/>
        <v>0</v>
      </c>
    </row>
    <row r="17" spans="2:14" ht="19.2" thickTop="1" thickBot="1" x14ac:dyDescent="0.4">
      <c r="D17" s="28" t="s">
        <v>16</v>
      </c>
      <c r="E17" s="28"/>
      <c r="F17" s="28"/>
      <c r="G17" s="28"/>
      <c r="H17" s="8">
        <f>AVERAGE(H5:H16)</f>
        <v>6.5</v>
      </c>
      <c r="I17" s="9">
        <f t="shared" ref="I17:J17" si="4">AVERAGE(I5:I16)</f>
        <v>6.041666666666667</v>
      </c>
      <c r="J17" s="9">
        <f t="shared" si="4"/>
        <v>6.541666666666667</v>
      </c>
      <c r="K17" s="9">
        <f>AVERAGE(K5:K16)</f>
        <v>6.3250000000000002</v>
      </c>
      <c r="L17" s="8"/>
      <c r="M17" s="9"/>
      <c r="N17" s="8"/>
    </row>
    <row r="18" spans="2:14" ht="19.2" thickTop="1" thickBot="1" x14ac:dyDescent="0.4">
      <c r="D18" s="28" t="s">
        <v>17</v>
      </c>
      <c r="E18" s="28"/>
      <c r="F18" s="28"/>
      <c r="G18" s="28"/>
      <c r="H18" s="8">
        <f>MAX(H5:H16)</f>
        <v>10</v>
      </c>
      <c r="I18" s="8">
        <f t="shared" ref="I18:J18" si="5">MAX(I5:I16)</f>
        <v>9</v>
      </c>
      <c r="J18" s="8">
        <f t="shared" si="5"/>
        <v>9</v>
      </c>
      <c r="K18" s="8">
        <f>MAX(K5:K16)</f>
        <v>9</v>
      </c>
      <c r="L18" s="8"/>
      <c r="M18" s="8"/>
      <c r="N18" s="8"/>
    </row>
    <row r="19" spans="2:14" ht="19.2" thickTop="1" thickBot="1" x14ac:dyDescent="0.4">
      <c r="D19" s="28" t="s">
        <v>18</v>
      </c>
      <c r="E19" s="28"/>
      <c r="F19" s="28"/>
      <c r="G19" s="28"/>
      <c r="H19" s="8">
        <f>MIN(H5:H16)</f>
        <v>3</v>
      </c>
      <c r="I19" s="8">
        <f t="shared" ref="I19:K19" si="6">MIN(I5:I16)</f>
        <v>3</v>
      </c>
      <c r="J19" s="8">
        <f t="shared" si="6"/>
        <v>4</v>
      </c>
      <c r="K19" s="8">
        <f t="shared" si="6"/>
        <v>3.8</v>
      </c>
      <c r="L19" s="8"/>
      <c r="M19" s="8"/>
      <c r="N19" s="8"/>
    </row>
    <row r="20" spans="2:14" ht="18.600000000000001" thickTop="1" x14ac:dyDescent="0.35"/>
    <row r="22" spans="2:14" ht="18.600000000000001" thickBot="1" x14ac:dyDescent="0.4">
      <c r="B22" s="2" t="s">
        <v>30</v>
      </c>
      <c r="K22" s="3"/>
    </row>
    <row r="23" spans="2:14" ht="26.4" customHeight="1" thickBot="1" x14ac:dyDescent="0.4">
      <c r="D23" s="32" t="s">
        <v>31</v>
      </c>
      <c r="E23" s="32"/>
      <c r="F23" s="32"/>
      <c r="G23" s="32"/>
      <c r="H23" s="32"/>
      <c r="I23" s="32"/>
      <c r="J23" s="32"/>
      <c r="K23" s="32"/>
    </row>
    <row r="24" spans="2:14" ht="28.2" customHeight="1" thickBot="1" x14ac:dyDescent="0.4">
      <c r="D24" s="16" t="s">
        <v>2</v>
      </c>
      <c r="E24" s="15" t="s">
        <v>32</v>
      </c>
      <c r="F24" s="15" t="s">
        <v>39</v>
      </c>
      <c r="G24" s="16" t="s">
        <v>19</v>
      </c>
      <c r="H24" s="16" t="s">
        <v>45</v>
      </c>
      <c r="I24" s="16" t="s">
        <v>46</v>
      </c>
      <c r="J24" s="16" t="s">
        <v>47</v>
      </c>
      <c r="K24" s="16" t="s">
        <v>48</v>
      </c>
    </row>
    <row r="25" spans="2:14" ht="18.600000000000001" thickBot="1" x14ac:dyDescent="0.4">
      <c r="D25" s="12">
        <v>1</v>
      </c>
      <c r="E25" s="12" t="s">
        <v>33</v>
      </c>
      <c r="F25" s="12" t="s">
        <v>40</v>
      </c>
      <c r="G25" s="12" t="s">
        <v>11</v>
      </c>
      <c r="H25" s="12">
        <v>25</v>
      </c>
      <c r="I25" s="20">
        <f t="shared" ref="I25:I26" si="7">IF(G25="NỮ",200000,0)</f>
        <v>0</v>
      </c>
      <c r="J25" s="20">
        <f>IF(H26&gt;=24,300000,0)</f>
        <v>300000</v>
      </c>
      <c r="K25" s="14">
        <f>IF(OR(AND(G25="NAM",H25&gt;26),AND(G25="NỮ",H25&gt;25)),100,0)</f>
        <v>0</v>
      </c>
    </row>
    <row r="26" spans="2:14" ht="18.600000000000001" thickBot="1" x14ac:dyDescent="0.4">
      <c r="D26" s="12">
        <v>2</v>
      </c>
      <c r="E26" s="12" t="s">
        <v>34</v>
      </c>
      <c r="F26" s="12" t="s">
        <v>41</v>
      </c>
      <c r="G26" s="12" t="s">
        <v>11</v>
      </c>
      <c r="H26" s="12">
        <v>24</v>
      </c>
      <c r="I26" s="20">
        <f t="shared" si="7"/>
        <v>0</v>
      </c>
      <c r="J26" s="20">
        <f t="shared" ref="J26:J30" si="8">IF(H27&gt;=24,300000,0)</f>
        <v>300000</v>
      </c>
      <c r="K26" s="14">
        <f t="shared" ref="K26" si="9">IF(OR(AND(G26="NAM",H26&gt;26),AND(G26="NỮ",H26&gt;25)),100,0)</f>
        <v>0</v>
      </c>
    </row>
    <row r="27" spans="2:14" ht="18.600000000000001" thickBot="1" x14ac:dyDescent="0.4">
      <c r="D27" s="12">
        <v>3</v>
      </c>
      <c r="E27" s="12" t="s">
        <v>35</v>
      </c>
      <c r="F27" s="12" t="s">
        <v>42</v>
      </c>
      <c r="G27" s="12" t="s">
        <v>20</v>
      </c>
      <c r="H27" s="12">
        <v>26</v>
      </c>
      <c r="I27" s="20">
        <f>IF(G27="NỮ",200000,0)</f>
        <v>200000</v>
      </c>
      <c r="J27" s="20">
        <f t="shared" si="8"/>
        <v>0</v>
      </c>
      <c r="K27" s="14">
        <f>IF(OR(AND(G27="NAM",H27&gt;26),AND(G27="NỮ",H27&gt;25)),100000,0)</f>
        <v>100000</v>
      </c>
    </row>
    <row r="28" spans="2:14" ht="18.600000000000001" thickBot="1" x14ac:dyDescent="0.4">
      <c r="D28" s="12">
        <v>4</v>
      </c>
      <c r="E28" s="12" t="s">
        <v>36</v>
      </c>
      <c r="F28" s="12" t="s">
        <v>43</v>
      </c>
      <c r="G28" s="12" t="s">
        <v>20</v>
      </c>
      <c r="H28" s="12">
        <v>22</v>
      </c>
      <c r="I28" s="20">
        <f t="shared" ref="I28:I30" si="10">IF(G28="NỮ",200000,0)</f>
        <v>200000</v>
      </c>
      <c r="J28" s="20">
        <f t="shared" si="8"/>
        <v>300000</v>
      </c>
      <c r="K28" s="14">
        <f t="shared" ref="K28:K30" si="11">IF(OR(AND(G28="NAM",H28&gt;26),AND(G28="NỮ",H28&gt;25)),100000,0)</f>
        <v>0</v>
      </c>
    </row>
    <row r="29" spans="2:14" ht="18.600000000000001" thickBot="1" x14ac:dyDescent="0.4">
      <c r="D29" s="12">
        <v>5</v>
      </c>
      <c r="E29" s="12" t="s">
        <v>37</v>
      </c>
      <c r="F29" s="12" t="s">
        <v>11</v>
      </c>
      <c r="G29" s="12" t="s">
        <v>11</v>
      </c>
      <c r="H29" s="12">
        <v>27</v>
      </c>
      <c r="I29" s="20">
        <f t="shared" si="10"/>
        <v>0</v>
      </c>
      <c r="J29" s="20">
        <f t="shared" si="8"/>
        <v>300000</v>
      </c>
      <c r="K29" s="14">
        <f t="shared" si="11"/>
        <v>100000</v>
      </c>
    </row>
    <row r="30" spans="2:14" ht="18.600000000000001" thickBot="1" x14ac:dyDescent="0.4">
      <c r="D30" s="12">
        <v>6</v>
      </c>
      <c r="E30" s="12" t="s">
        <v>38</v>
      </c>
      <c r="F30" s="12" t="s">
        <v>44</v>
      </c>
      <c r="G30" s="12" t="s">
        <v>20</v>
      </c>
      <c r="H30" s="12">
        <v>25</v>
      </c>
      <c r="I30" s="20">
        <f t="shared" si="10"/>
        <v>200000</v>
      </c>
      <c r="J30" s="20">
        <f t="shared" si="8"/>
        <v>0</v>
      </c>
      <c r="K30" s="14">
        <f t="shared" si="11"/>
        <v>0</v>
      </c>
    </row>
    <row r="33" spans="2:14" ht="18.600000000000001" thickBot="1" x14ac:dyDescent="0.4">
      <c r="B33" s="2" t="s">
        <v>49</v>
      </c>
    </row>
    <row r="34" spans="2:14" ht="46.8" customHeight="1" thickBot="1" x14ac:dyDescent="0.4">
      <c r="D34" s="10" t="s">
        <v>2</v>
      </c>
      <c r="E34" s="10" t="s">
        <v>50</v>
      </c>
      <c r="F34" s="11" t="s">
        <v>66</v>
      </c>
      <c r="G34" s="11" t="s">
        <v>74</v>
      </c>
      <c r="H34" s="10" t="s">
        <v>75</v>
      </c>
      <c r="I34" s="10" t="s">
        <v>76</v>
      </c>
      <c r="J34" s="10" t="s">
        <v>82</v>
      </c>
      <c r="K34" s="11" t="s">
        <v>77</v>
      </c>
      <c r="L34" s="10" t="s">
        <v>83</v>
      </c>
      <c r="M34" s="11" t="s">
        <v>78</v>
      </c>
      <c r="N34" s="10" t="s">
        <v>81</v>
      </c>
    </row>
    <row r="35" spans="2:14" ht="18.600000000000001" thickBot="1" x14ac:dyDescent="0.4">
      <c r="D35" s="12">
        <v>1</v>
      </c>
      <c r="E35" s="12" t="s">
        <v>51</v>
      </c>
      <c r="F35" s="12" t="s">
        <v>67</v>
      </c>
      <c r="G35" s="13">
        <v>24524</v>
      </c>
      <c r="H35" s="12">
        <v>120000</v>
      </c>
      <c r="I35" s="12">
        <v>25</v>
      </c>
      <c r="J35" s="22">
        <f ca="1">YEAR(TODAY())-YEAR(G35)</f>
        <v>58</v>
      </c>
      <c r="K35" s="14">
        <f>H35*I35</f>
        <v>3000000</v>
      </c>
      <c r="L35" s="14">
        <f>IF(F35="GĐ",500000,IF(F35="PGĐ",400000,IF(F35="TP",300000,IF(F35="PP",200000,100000))))</f>
        <v>300000</v>
      </c>
      <c r="M35" s="14">
        <f>80%*K35</f>
        <v>2400000</v>
      </c>
      <c r="N35" s="14">
        <f>K35+L35-M35</f>
        <v>900000</v>
      </c>
    </row>
    <row r="36" spans="2:14" ht="18.600000000000001" thickBot="1" x14ac:dyDescent="0.4">
      <c r="D36" s="12">
        <v>2</v>
      </c>
      <c r="E36" s="12" t="s">
        <v>52</v>
      </c>
      <c r="F36" s="12" t="s">
        <v>68</v>
      </c>
      <c r="G36" s="13">
        <v>27659</v>
      </c>
      <c r="H36" s="12">
        <v>160000</v>
      </c>
      <c r="I36" s="12">
        <v>24</v>
      </c>
      <c r="J36" s="22">
        <f ca="1">YEAR(TODAY())-YEAR(G36)</f>
        <v>50</v>
      </c>
      <c r="K36" s="14">
        <f t="shared" ref="K36:K49" si="12">H36*I36</f>
        <v>3840000</v>
      </c>
      <c r="L36" s="14">
        <f t="shared" ref="L36:L49" si="13">IF(F36="GĐ",500000,IF(F36="PGĐ",400000,IF(F36="TP",300000,IF(F36="PP",200000,100000))))</f>
        <v>100000</v>
      </c>
      <c r="M36" s="14">
        <f t="shared" ref="M36:M49" si="14">80%*K36</f>
        <v>3072000</v>
      </c>
      <c r="N36" s="14">
        <f t="shared" ref="N36:N49" si="15">K36+L36-M36</f>
        <v>868000</v>
      </c>
    </row>
    <row r="37" spans="2:14" ht="18.600000000000001" thickBot="1" x14ac:dyDescent="0.4">
      <c r="D37" s="12">
        <v>3</v>
      </c>
      <c r="E37" s="12" t="s">
        <v>53</v>
      </c>
      <c r="F37" s="12" t="s">
        <v>69</v>
      </c>
      <c r="G37" s="13">
        <v>24972</v>
      </c>
      <c r="H37" s="12">
        <v>150000</v>
      </c>
      <c r="I37" s="12">
        <v>26</v>
      </c>
      <c r="J37" s="22">
        <f t="shared" ref="J36:J49" ca="1" si="16">YEAR(TODAY())-YEAR(G37)</f>
        <v>57</v>
      </c>
      <c r="K37" s="14">
        <f t="shared" si="12"/>
        <v>3900000</v>
      </c>
      <c r="L37" s="14">
        <f t="shared" si="13"/>
        <v>200000</v>
      </c>
      <c r="M37" s="14">
        <f t="shared" si="14"/>
        <v>3120000</v>
      </c>
      <c r="N37" s="14">
        <f t="shared" si="15"/>
        <v>980000</v>
      </c>
    </row>
    <row r="38" spans="2:14" ht="18.600000000000001" thickBot="1" x14ac:dyDescent="0.4">
      <c r="D38" s="12">
        <v>4</v>
      </c>
      <c r="E38" s="12" t="s">
        <v>54</v>
      </c>
      <c r="F38" s="12" t="s">
        <v>68</v>
      </c>
      <c r="G38" s="13">
        <v>21231</v>
      </c>
      <c r="H38" s="12">
        <v>130000</v>
      </c>
      <c r="I38" s="12">
        <v>20</v>
      </c>
      <c r="J38" s="22">
        <f t="shared" ca="1" si="16"/>
        <v>67</v>
      </c>
      <c r="K38" s="14">
        <f t="shared" si="12"/>
        <v>2600000</v>
      </c>
      <c r="L38" s="14">
        <f t="shared" si="13"/>
        <v>100000</v>
      </c>
      <c r="M38" s="14">
        <f t="shared" si="14"/>
        <v>2080000</v>
      </c>
      <c r="N38" s="14">
        <f t="shared" si="15"/>
        <v>620000</v>
      </c>
    </row>
    <row r="39" spans="2:14" ht="18.600000000000001" thickBot="1" x14ac:dyDescent="0.4">
      <c r="D39" s="12">
        <v>5</v>
      </c>
      <c r="E39" s="12" t="s">
        <v>55</v>
      </c>
      <c r="F39" s="12" t="s">
        <v>70</v>
      </c>
      <c r="G39" s="13">
        <v>28728</v>
      </c>
      <c r="H39" s="12">
        <v>180000</v>
      </c>
      <c r="I39" s="12">
        <v>23</v>
      </c>
      <c r="J39" s="22">
        <f t="shared" ca="1" si="16"/>
        <v>47</v>
      </c>
      <c r="K39" s="14">
        <f t="shared" si="12"/>
        <v>4140000</v>
      </c>
      <c r="L39" s="14">
        <f t="shared" si="13"/>
        <v>100000</v>
      </c>
      <c r="M39" s="14">
        <f t="shared" si="14"/>
        <v>3312000</v>
      </c>
      <c r="N39" s="14">
        <f t="shared" si="15"/>
        <v>928000</v>
      </c>
    </row>
    <row r="40" spans="2:14" ht="18.600000000000001" thickBot="1" x14ac:dyDescent="0.4">
      <c r="D40" s="12">
        <v>6</v>
      </c>
      <c r="E40" s="12" t="s">
        <v>57</v>
      </c>
      <c r="F40" s="12" t="s">
        <v>71</v>
      </c>
      <c r="G40" s="13">
        <v>25432</v>
      </c>
      <c r="H40" s="12">
        <v>150000</v>
      </c>
      <c r="I40" s="12">
        <v>24</v>
      </c>
      <c r="J40" s="22">
        <f t="shared" ca="1" si="16"/>
        <v>56</v>
      </c>
      <c r="K40" s="14">
        <f t="shared" si="12"/>
        <v>3600000</v>
      </c>
      <c r="L40" s="14">
        <f t="shared" si="13"/>
        <v>100000</v>
      </c>
      <c r="M40" s="14">
        <f t="shared" si="14"/>
        <v>2880000</v>
      </c>
      <c r="N40" s="14">
        <f t="shared" si="15"/>
        <v>820000</v>
      </c>
    </row>
    <row r="41" spans="2:14" ht="18.600000000000001" thickBot="1" x14ac:dyDescent="0.4">
      <c r="D41" s="12">
        <v>7</v>
      </c>
      <c r="E41" s="12" t="s">
        <v>56</v>
      </c>
      <c r="F41" s="12" t="s">
        <v>69</v>
      </c>
      <c r="G41" s="13">
        <v>25430</v>
      </c>
      <c r="H41" s="12">
        <v>140000</v>
      </c>
      <c r="I41" s="12">
        <v>27</v>
      </c>
      <c r="J41" s="22">
        <f t="shared" ca="1" si="16"/>
        <v>56</v>
      </c>
      <c r="K41" s="14">
        <f t="shared" si="12"/>
        <v>3780000</v>
      </c>
      <c r="L41" s="14">
        <f t="shared" si="13"/>
        <v>200000</v>
      </c>
      <c r="M41" s="14">
        <f t="shared" si="14"/>
        <v>3024000</v>
      </c>
      <c r="N41" s="14">
        <f t="shared" si="15"/>
        <v>956000</v>
      </c>
    </row>
    <row r="42" spans="2:14" ht="18.600000000000001" thickBot="1" x14ac:dyDescent="0.4">
      <c r="D42" s="12">
        <v>8</v>
      </c>
      <c r="E42" s="12" t="s">
        <v>58</v>
      </c>
      <c r="F42" s="12" t="s">
        <v>72</v>
      </c>
      <c r="G42" s="13">
        <v>20796</v>
      </c>
      <c r="H42" s="12">
        <v>160000</v>
      </c>
      <c r="I42" s="12">
        <v>14</v>
      </c>
      <c r="J42" s="22">
        <f t="shared" ca="1" si="16"/>
        <v>69</v>
      </c>
      <c r="K42" s="14">
        <f t="shared" si="12"/>
        <v>2240000</v>
      </c>
      <c r="L42" s="14">
        <f t="shared" si="13"/>
        <v>500000</v>
      </c>
      <c r="M42" s="14">
        <f t="shared" si="14"/>
        <v>1792000</v>
      </c>
      <c r="N42" s="14">
        <f t="shared" si="15"/>
        <v>948000</v>
      </c>
    </row>
    <row r="43" spans="2:14" ht="18.600000000000001" thickBot="1" x14ac:dyDescent="0.4">
      <c r="D43" s="12">
        <v>9</v>
      </c>
      <c r="E43" s="12" t="s">
        <v>59</v>
      </c>
      <c r="F43" s="12" t="s">
        <v>71</v>
      </c>
      <c r="G43" s="13">
        <v>22194</v>
      </c>
      <c r="H43" s="12">
        <v>150000</v>
      </c>
      <c r="I43" s="12">
        <v>17</v>
      </c>
      <c r="J43" s="22">
        <f t="shared" ca="1" si="16"/>
        <v>65</v>
      </c>
      <c r="K43" s="14">
        <f t="shared" si="12"/>
        <v>2550000</v>
      </c>
      <c r="L43" s="14">
        <f t="shared" si="13"/>
        <v>100000</v>
      </c>
      <c r="M43" s="14">
        <f t="shared" si="14"/>
        <v>2040000</v>
      </c>
      <c r="N43" s="14">
        <f t="shared" si="15"/>
        <v>610000</v>
      </c>
    </row>
    <row r="44" spans="2:14" ht="18.600000000000001" thickBot="1" x14ac:dyDescent="0.4">
      <c r="D44" s="12">
        <v>10</v>
      </c>
      <c r="E44" s="12" t="s">
        <v>60</v>
      </c>
      <c r="F44" s="12" t="s">
        <v>68</v>
      </c>
      <c r="G44" s="13">
        <v>19859</v>
      </c>
      <c r="H44" s="12">
        <v>130000</v>
      </c>
      <c r="I44" s="12">
        <v>23</v>
      </c>
      <c r="J44" s="22">
        <f t="shared" ca="1" si="16"/>
        <v>71</v>
      </c>
      <c r="K44" s="14">
        <f t="shared" si="12"/>
        <v>2990000</v>
      </c>
      <c r="L44" s="14">
        <f t="shared" si="13"/>
        <v>100000</v>
      </c>
      <c r="M44" s="14">
        <f t="shared" si="14"/>
        <v>2392000</v>
      </c>
      <c r="N44" s="14">
        <f t="shared" si="15"/>
        <v>698000</v>
      </c>
    </row>
    <row r="45" spans="2:14" ht="18.600000000000001" thickBot="1" x14ac:dyDescent="0.4">
      <c r="D45" s="12">
        <v>11</v>
      </c>
      <c r="E45" s="12" t="s">
        <v>61</v>
      </c>
      <c r="F45" s="12" t="s">
        <v>67</v>
      </c>
      <c r="G45" s="13">
        <v>24731</v>
      </c>
      <c r="H45" s="12">
        <v>180000</v>
      </c>
      <c r="I45" s="12">
        <v>22</v>
      </c>
      <c r="J45" s="22">
        <f t="shared" ca="1" si="16"/>
        <v>58</v>
      </c>
      <c r="K45" s="14">
        <f t="shared" si="12"/>
        <v>3960000</v>
      </c>
      <c r="L45" s="14">
        <f t="shared" si="13"/>
        <v>300000</v>
      </c>
      <c r="M45" s="14">
        <f t="shared" si="14"/>
        <v>3168000</v>
      </c>
      <c r="N45" s="14">
        <f t="shared" si="15"/>
        <v>1092000</v>
      </c>
    </row>
    <row r="46" spans="2:14" ht="18.600000000000001" thickBot="1" x14ac:dyDescent="0.4">
      <c r="D46" s="12">
        <v>12</v>
      </c>
      <c r="E46" s="12" t="s">
        <v>62</v>
      </c>
      <c r="F46" s="12" t="s">
        <v>68</v>
      </c>
      <c r="G46" s="13">
        <v>25465</v>
      </c>
      <c r="H46" s="12">
        <v>150000</v>
      </c>
      <c r="I46" s="12">
        <v>14</v>
      </c>
      <c r="J46" s="22">
        <f t="shared" ca="1" si="16"/>
        <v>56</v>
      </c>
      <c r="K46" s="14">
        <f t="shared" si="12"/>
        <v>2100000</v>
      </c>
      <c r="L46" s="14">
        <f t="shared" si="13"/>
        <v>100000</v>
      </c>
      <c r="M46" s="14">
        <f t="shared" si="14"/>
        <v>1680000</v>
      </c>
      <c r="N46" s="14">
        <f t="shared" si="15"/>
        <v>520000</v>
      </c>
    </row>
    <row r="47" spans="2:14" ht="18.600000000000001" thickBot="1" x14ac:dyDescent="0.4">
      <c r="D47" s="12">
        <v>13</v>
      </c>
      <c r="E47" s="12" t="s">
        <v>63</v>
      </c>
      <c r="F47" s="12" t="s">
        <v>73</v>
      </c>
      <c r="G47" s="13">
        <v>21438</v>
      </c>
      <c r="H47" s="12">
        <v>180000</v>
      </c>
      <c r="I47" s="12">
        <v>23</v>
      </c>
      <c r="J47" s="22">
        <f t="shared" ca="1" si="16"/>
        <v>67</v>
      </c>
      <c r="K47" s="14">
        <f t="shared" si="12"/>
        <v>4140000</v>
      </c>
      <c r="L47" s="14">
        <f t="shared" si="13"/>
        <v>400000</v>
      </c>
      <c r="M47" s="14">
        <f t="shared" si="14"/>
        <v>3312000</v>
      </c>
      <c r="N47" s="14">
        <f t="shared" si="15"/>
        <v>1228000</v>
      </c>
    </row>
    <row r="48" spans="2:14" ht="18.600000000000001" thickBot="1" x14ac:dyDescent="0.4">
      <c r="D48" s="12">
        <v>14</v>
      </c>
      <c r="E48" s="12" t="s">
        <v>64</v>
      </c>
      <c r="F48" s="12" t="s">
        <v>67</v>
      </c>
      <c r="G48" s="13">
        <v>19983</v>
      </c>
      <c r="H48" s="12">
        <v>160000</v>
      </c>
      <c r="I48" s="12">
        <v>27</v>
      </c>
      <c r="J48" s="22">
        <f t="shared" ca="1" si="16"/>
        <v>71</v>
      </c>
      <c r="K48" s="14">
        <f t="shared" si="12"/>
        <v>4320000</v>
      </c>
      <c r="L48" s="14">
        <f t="shared" si="13"/>
        <v>300000</v>
      </c>
      <c r="M48" s="14">
        <f t="shared" si="14"/>
        <v>3456000</v>
      </c>
      <c r="N48" s="14">
        <f t="shared" si="15"/>
        <v>1164000</v>
      </c>
    </row>
    <row r="49" spans="2:14" ht="18.600000000000001" thickBot="1" x14ac:dyDescent="0.4">
      <c r="D49" s="12">
        <v>15</v>
      </c>
      <c r="E49" s="12" t="s">
        <v>65</v>
      </c>
      <c r="F49" s="12" t="s">
        <v>71</v>
      </c>
      <c r="G49" s="13">
        <v>25074</v>
      </c>
      <c r="H49" s="12">
        <v>130000</v>
      </c>
      <c r="I49" s="12">
        <v>26</v>
      </c>
      <c r="J49" s="22">
        <f t="shared" ca="1" si="16"/>
        <v>57</v>
      </c>
      <c r="K49" s="14">
        <f t="shared" si="12"/>
        <v>3380000</v>
      </c>
      <c r="L49" s="14">
        <f t="shared" si="13"/>
        <v>100000</v>
      </c>
      <c r="M49" s="14">
        <f t="shared" si="14"/>
        <v>2704000</v>
      </c>
      <c r="N49" s="14">
        <f t="shared" si="15"/>
        <v>776000</v>
      </c>
    </row>
    <row r="50" spans="2:14" ht="18.600000000000001" thickBot="1" x14ac:dyDescent="0.4">
      <c r="D50" s="33" t="s">
        <v>79</v>
      </c>
      <c r="E50" s="33"/>
      <c r="F50" s="33"/>
      <c r="G50" s="33"/>
      <c r="H50" s="33"/>
      <c r="I50" s="33"/>
      <c r="J50" s="14">
        <f ca="1">SUM(J35:J49)</f>
        <v>905</v>
      </c>
      <c r="K50" s="14">
        <f>SUM(K35:K49)</f>
        <v>50540000</v>
      </c>
      <c r="L50" s="14">
        <f t="shared" ref="L50:N50" si="17">SUM(L35:L49)</f>
        <v>3000000</v>
      </c>
      <c r="M50" s="14">
        <f t="shared" si="17"/>
        <v>40432000</v>
      </c>
      <c r="N50" s="14">
        <f t="shared" si="17"/>
        <v>13108000</v>
      </c>
    </row>
    <row r="51" spans="2:14" ht="18.600000000000001" thickBot="1" x14ac:dyDescent="0.4">
      <c r="D51" s="33" t="s">
        <v>80</v>
      </c>
      <c r="E51" s="33"/>
      <c r="F51" s="33"/>
      <c r="G51" s="33"/>
      <c r="H51" s="33"/>
      <c r="I51" s="33"/>
      <c r="J51" s="22">
        <f ca="1">AVERAGE(J35:J49)</f>
        <v>60.333333333333336</v>
      </c>
      <c r="K51" s="22">
        <f>AVERAGE(K35:K49)</f>
        <v>3369333.3333333335</v>
      </c>
      <c r="L51" s="14">
        <f t="shared" ref="L51:N51" si="18">AVERAGE(L35:L49)</f>
        <v>200000</v>
      </c>
      <c r="M51" s="22">
        <f t="shared" si="18"/>
        <v>2695466.6666666665</v>
      </c>
      <c r="N51" s="22">
        <f t="shared" si="18"/>
        <v>873866.66666666663</v>
      </c>
    </row>
    <row r="52" spans="2:14" ht="18.600000000000001" thickBot="1" x14ac:dyDescent="0.4">
      <c r="D52" s="33" t="s">
        <v>17</v>
      </c>
      <c r="E52" s="33"/>
      <c r="F52" s="33"/>
      <c r="G52" s="33"/>
      <c r="H52" s="33"/>
      <c r="I52" s="33"/>
      <c r="J52" s="14">
        <f ca="1">MAX(J35:J49)</f>
        <v>71</v>
      </c>
      <c r="K52" s="14">
        <f>MAX(K35:K49)</f>
        <v>4320000</v>
      </c>
      <c r="L52" s="14">
        <f t="shared" ref="L52:N52" si="19">MAX(L35:L49)</f>
        <v>500000</v>
      </c>
      <c r="M52" s="14">
        <f t="shared" si="19"/>
        <v>3456000</v>
      </c>
      <c r="N52" s="14">
        <f t="shared" si="19"/>
        <v>1228000</v>
      </c>
    </row>
    <row r="53" spans="2:14" ht="18.600000000000001" thickBot="1" x14ac:dyDescent="0.4">
      <c r="D53" s="33" t="s">
        <v>18</v>
      </c>
      <c r="E53" s="33"/>
      <c r="F53" s="33"/>
      <c r="G53" s="33"/>
      <c r="H53" s="33"/>
      <c r="I53" s="33"/>
      <c r="J53" s="14">
        <f ca="1">MIN(J35:J49)</f>
        <v>47</v>
      </c>
      <c r="K53" s="14">
        <f>MIN(K35:K49)</f>
        <v>2100000</v>
      </c>
      <c r="L53" s="14">
        <f t="shared" ref="L53:N53" si="20">MIN(L35:L49)</f>
        <v>100000</v>
      </c>
      <c r="M53" s="14">
        <f t="shared" si="20"/>
        <v>1680000</v>
      </c>
      <c r="N53" s="14">
        <f t="shared" si="20"/>
        <v>520000</v>
      </c>
    </row>
    <row r="56" spans="2:14" ht="18.600000000000001" thickBot="1" x14ac:dyDescent="0.4">
      <c r="B56" s="2" t="s">
        <v>84</v>
      </c>
    </row>
    <row r="57" spans="2:14" ht="34.799999999999997" customHeight="1" thickBot="1" x14ac:dyDescent="0.4">
      <c r="D57" s="15" t="s">
        <v>2</v>
      </c>
      <c r="E57" s="15" t="s">
        <v>85</v>
      </c>
      <c r="F57" s="17" t="s">
        <v>86</v>
      </c>
      <c r="G57" s="17" t="s">
        <v>87</v>
      </c>
      <c r="H57" s="15" t="s">
        <v>88</v>
      </c>
      <c r="I57" s="15" t="s">
        <v>89</v>
      </c>
      <c r="J57" s="15" t="s">
        <v>90</v>
      </c>
      <c r="K57" s="15" t="s">
        <v>91</v>
      </c>
      <c r="L57" s="17" t="s">
        <v>92</v>
      </c>
      <c r="M57" s="15" t="s">
        <v>93</v>
      </c>
    </row>
    <row r="58" spans="2:14" ht="18.600000000000001" thickBot="1" x14ac:dyDescent="0.4">
      <c r="D58" s="18">
        <v>1</v>
      </c>
      <c r="E58" s="19" t="s">
        <v>95</v>
      </c>
      <c r="F58" s="18" t="str">
        <f>VLOOKUP(LEFT(E58,2),$E$68:$K$72,2,0)</f>
        <v>Máy lạnh Panasonic</v>
      </c>
      <c r="G58" s="24">
        <f>VLOOKUP(LEFT(E58,2),$E$68:$K$72,5,0)</f>
        <v>300</v>
      </c>
      <c r="H58" s="18">
        <f>VLOOKUP(LEFT(E58,2),$E$68:$K$72,6,0)</f>
        <v>130</v>
      </c>
      <c r="I58" s="18">
        <f>G58*H58</f>
        <v>39000</v>
      </c>
      <c r="J58" s="18">
        <f>IF(MID(E58,4,1)="A",G58+15,IF(MID(E58,4,1)="B",G58+12,G58+10))</f>
        <v>315</v>
      </c>
      <c r="K58" s="18">
        <f>VLOOKUP(LEFT(E58,2),$E$68:$K$72,7,0)</f>
        <v>100</v>
      </c>
      <c r="L58" s="18">
        <f>J58*K58</f>
        <v>31500</v>
      </c>
      <c r="M58" s="18" t="str">
        <f>IF(H58-K58&gt;=60,"Bán chậm",IF(H58-K58&gt;=30,"Bán được","Bán chạy"))</f>
        <v>Bán được</v>
      </c>
    </row>
    <row r="59" spans="2:14" ht="18.600000000000001" thickBot="1" x14ac:dyDescent="0.4">
      <c r="D59" s="18">
        <v>2</v>
      </c>
      <c r="E59" s="19" t="s">
        <v>96</v>
      </c>
      <c r="F59" s="18" t="str">
        <f t="shared" ref="F59:F65" si="21">VLOOKUP(LEFT(E59,2),$E$68:$K$72,2,0)</f>
        <v>Máy lạnh Panasonic</v>
      </c>
      <c r="G59" s="24">
        <f t="shared" ref="G59:G65" si="22">VLOOKUP(LEFT(E59,2),$E$68:$K$72,5,0)</f>
        <v>300</v>
      </c>
      <c r="H59" s="18">
        <f t="shared" ref="H59:H65" si="23">VLOOKUP(LEFT(E59,2),$E$68:$K$72,6,0)</f>
        <v>130</v>
      </c>
      <c r="I59" s="18">
        <f t="shared" ref="I59:I65" si="24">G59*H59</f>
        <v>39000</v>
      </c>
      <c r="J59" s="18">
        <f t="shared" ref="J59:J66" si="25">IF(MID(E59,4,1)="A",G59+15,IF(MID(E59,4,1)="B",G59+12,G59+10))</f>
        <v>310</v>
      </c>
      <c r="K59" s="18">
        <f t="shared" ref="K59:K65" si="26">VLOOKUP(LEFT(E59,2),$E$68:$K$72,7,0)</f>
        <v>100</v>
      </c>
      <c r="L59" s="18">
        <f t="shared" ref="L59:L66" si="27">J59*K59</f>
        <v>31000</v>
      </c>
      <c r="M59" s="18" t="str">
        <f t="shared" ref="M59:M65" si="28">IF(H59-K59&gt;=60,"Bán chậm",IF(H59-K59&gt;=30,"Bán được","Bán chạy"))</f>
        <v>Bán được</v>
      </c>
    </row>
    <row r="60" spans="2:14" ht="18.600000000000001" thickBot="1" x14ac:dyDescent="0.4">
      <c r="D60" s="18">
        <v>3</v>
      </c>
      <c r="E60" s="19" t="s">
        <v>97</v>
      </c>
      <c r="F60" s="18" t="str">
        <f t="shared" si="21"/>
        <v>Máy lạnh Sanyo</v>
      </c>
      <c r="G60" s="24">
        <f t="shared" si="22"/>
        <v>210</v>
      </c>
      <c r="H60" s="18">
        <f t="shared" si="23"/>
        <v>126</v>
      </c>
      <c r="I60" s="18">
        <f t="shared" si="24"/>
        <v>26460</v>
      </c>
      <c r="J60" s="18">
        <f t="shared" si="25"/>
        <v>222</v>
      </c>
      <c r="K60" s="18">
        <f t="shared" si="26"/>
        <v>85</v>
      </c>
      <c r="L60" s="18">
        <f t="shared" si="27"/>
        <v>18870</v>
      </c>
      <c r="M60" s="18" t="str">
        <f t="shared" si="28"/>
        <v>Bán được</v>
      </c>
    </row>
    <row r="61" spans="2:14" ht="18.600000000000001" thickBot="1" x14ac:dyDescent="0.4">
      <c r="D61" s="18">
        <v>4</v>
      </c>
      <c r="E61" s="19" t="s">
        <v>98</v>
      </c>
      <c r="F61" s="18" t="str">
        <f t="shared" si="21"/>
        <v>Máy lạnhTosiba</v>
      </c>
      <c r="G61" s="24">
        <f t="shared" si="22"/>
        <v>250</v>
      </c>
      <c r="H61" s="18">
        <f t="shared" si="23"/>
        <v>90</v>
      </c>
      <c r="I61" s="18">
        <f t="shared" si="24"/>
        <v>22500</v>
      </c>
      <c r="J61" s="18">
        <f t="shared" si="25"/>
        <v>260</v>
      </c>
      <c r="K61" s="18">
        <f t="shared" si="26"/>
        <v>60</v>
      </c>
      <c r="L61" s="18">
        <f t="shared" si="27"/>
        <v>15600</v>
      </c>
      <c r="M61" s="18" t="str">
        <f t="shared" si="28"/>
        <v>Bán được</v>
      </c>
    </row>
    <row r="62" spans="2:14" ht="18.600000000000001" thickBot="1" x14ac:dyDescent="0.4">
      <c r="D62" s="18">
        <v>5</v>
      </c>
      <c r="E62" s="19" t="s">
        <v>99</v>
      </c>
      <c r="F62" s="18" t="str">
        <f t="shared" si="21"/>
        <v>Máy lạnh Hitachi</v>
      </c>
      <c r="G62" s="24">
        <f t="shared" si="22"/>
        <v>220</v>
      </c>
      <c r="H62" s="18">
        <f t="shared" si="23"/>
        <v>70</v>
      </c>
      <c r="I62" s="18">
        <f t="shared" si="24"/>
        <v>15400</v>
      </c>
      <c r="J62" s="18">
        <f t="shared" si="25"/>
        <v>230</v>
      </c>
      <c r="K62" s="18">
        <f t="shared" si="26"/>
        <v>30</v>
      </c>
      <c r="L62" s="18">
        <f t="shared" si="27"/>
        <v>6900</v>
      </c>
      <c r="M62" s="18" t="str">
        <f t="shared" si="28"/>
        <v>Bán được</v>
      </c>
    </row>
    <row r="63" spans="2:14" ht="18.600000000000001" thickBot="1" x14ac:dyDescent="0.4">
      <c r="D63" s="18">
        <v>6</v>
      </c>
      <c r="E63" s="19" t="s">
        <v>100</v>
      </c>
      <c r="F63" s="18" t="str">
        <f t="shared" si="21"/>
        <v>Máy lạnh Hitachi</v>
      </c>
      <c r="G63" s="24">
        <f t="shared" si="22"/>
        <v>220</v>
      </c>
      <c r="H63" s="18">
        <f t="shared" si="23"/>
        <v>70</v>
      </c>
      <c r="I63" s="18">
        <f t="shared" si="24"/>
        <v>15400</v>
      </c>
      <c r="J63" s="18">
        <f t="shared" si="25"/>
        <v>235</v>
      </c>
      <c r="K63" s="18">
        <f t="shared" si="26"/>
        <v>30</v>
      </c>
      <c r="L63" s="18">
        <f t="shared" si="27"/>
        <v>7050</v>
      </c>
      <c r="M63" s="18" t="str">
        <f t="shared" si="28"/>
        <v>Bán được</v>
      </c>
    </row>
    <row r="64" spans="2:14" ht="18.600000000000001" thickBot="1" x14ac:dyDescent="0.4">
      <c r="D64" s="18">
        <v>7</v>
      </c>
      <c r="E64" s="19" t="s">
        <v>101</v>
      </c>
      <c r="F64" s="18" t="str">
        <f t="shared" si="21"/>
        <v>Máy lạnhTosiba</v>
      </c>
      <c r="G64" s="24">
        <f t="shared" si="22"/>
        <v>250</v>
      </c>
      <c r="H64" s="18">
        <f t="shared" si="23"/>
        <v>90</v>
      </c>
      <c r="I64" s="18">
        <f t="shared" si="24"/>
        <v>22500</v>
      </c>
      <c r="J64" s="18">
        <f t="shared" si="25"/>
        <v>262</v>
      </c>
      <c r="K64" s="18">
        <f t="shared" si="26"/>
        <v>60</v>
      </c>
      <c r="L64" s="18">
        <f t="shared" si="27"/>
        <v>15720</v>
      </c>
      <c r="M64" s="18" t="str">
        <f t="shared" si="28"/>
        <v>Bán được</v>
      </c>
    </row>
    <row r="65" spans="4:13" ht="18.600000000000001" thickBot="1" x14ac:dyDescent="0.4">
      <c r="D65" s="18">
        <v>8</v>
      </c>
      <c r="E65" s="19" t="s">
        <v>97</v>
      </c>
      <c r="F65" s="18" t="str">
        <f t="shared" si="21"/>
        <v>Máy lạnh Sanyo</v>
      </c>
      <c r="G65" s="24">
        <f t="shared" si="22"/>
        <v>210</v>
      </c>
      <c r="H65" s="18">
        <f t="shared" si="23"/>
        <v>126</v>
      </c>
      <c r="I65" s="18">
        <f t="shared" si="24"/>
        <v>26460</v>
      </c>
      <c r="J65" s="18">
        <f t="shared" si="25"/>
        <v>222</v>
      </c>
      <c r="K65" s="18">
        <f t="shared" si="26"/>
        <v>85</v>
      </c>
      <c r="L65" s="18">
        <f t="shared" si="27"/>
        <v>18870</v>
      </c>
      <c r="M65" s="18" t="str">
        <f t="shared" si="28"/>
        <v>Bán được</v>
      </c>
    </row>
    <row r="66" spans="4:13" ht="18.600000000000001" thickBot="1" x14ac:dyDescent="0.4">
      <c r="D66" s="34" t="s">
        <v>94</v>
      </c>
      <c r="E66" s="34"/>
      <c r="F66" s="34"/>
      <c r="G66" s="23">
        <f t="shared" ref="G66:H66" si="29">SUM(G58:G65)</f>
        <v>1960</v>
      </c>
      <c r="H66" s="23">
        <f t="shared" si="29"/>
        <v>832</v>
      </c>
      <c r="I66" s="23">
        <f t="shared" ref="I66" si="30">SUM(I58:I65)</f>
        <v>206720</v>
      </c>
      <c r="J66" s="18">
        <f t="shared" si="25"/>
        <v>1970</v>
      </c>
      <c r="K66" s="23">
        <f t="shared" ref="K66" si="31">SUM(K58:K65)</f>
        <v>550</v>
      </c>
      <c r="L66" s="18">
        <f t="shared" si="27"/>
        <v>1083500</v>
      </c>
      <c r="M66" s="23"/>
    </row>
    <row r="67" spans="4:13" ht="35.4" customHeight="1" thickBot="1" x14ac:dyDescent="0.4">
      <c r="E67" s="38" t="s">
        <v>102</v>
      </c>
      <c r="F67" s="38"/>
      <c r="G67" s="38"/>
      <c r="H67" s="38"/>
      <c r="I67" s="38"/>
      <c r="J67" s="14"/>
      <c r="K67" s="14"/>
    </row>
    <row r="68" spans="4:13" ht="24.6" customHeight="1" thickBot="1" x14ac:dyDescent="0.4">
      <c r="E68" s="15" t="s">
        <v>85</v>
      </c>
      <c r="F68" s="32" t="s">
        <v>107</v>
      </c>
      <c r="G68" s="32"/>
      <c r="H68" s="32"/>
      <c r="I68" s="15" t="s">
        <v>87</v>
      </c>
      <c r="J68" s="15" t="s">
        <v>88</v>
      </c>
      <c r="K68" s="15" t="s">
        <v>91</v>
      </c>
    </row>
    <row r="69" spans="4:13" ht="18.600000000000001" thickBot="1" x14ac:dyDescent="0.4">
      <c r="E69" s="18" t="s">
        <v>103</v>
      </c>
      <c r="F69" s="34" t="s">
        <v>108</v>
      </c>
      <c r="G69" s="34"/>
      <c r="H69" s="34"/>
      <c r="I69" s="25">
        <v>300</v>
      </c>
      <c r="J69" s="18">
        <v>130</v>
      </c>
      <c r="K69" s="24">
        <v>100</v>
      </c>
    </row>
    <row r="70" spans="4:13" ht="18.600000000000001" thickBot="1" x14ac:dyDescent="0.4">
      <c r="E70" s="18" t="s">
        <v>104</v>
      </c>
      <c r="F70" s="34" t="s">
        <v>109</v>
      </c>
      <c r="G70" s="34"/>
      <c r="H70" s="34"/>
      <c r="I70" s="25">
        <v>250</v>
      </c>
      <c r="J70" s="18">
        <v>90</v>
      </c>
      <c r="K70" s="24">
        <v>60</v>
      </c>
    </row>
    <row r="71" spans="4:13" ht="18.600000000000001" thickBot="1" x14ac:dyDescent="0.4">
      <c r="E71" s="18" t="s">
        <v>105</v>
      </c>
      <c r="F71" s="34" t="s">
        <v>110</v>
      </c>
      <c r="G71" s="34"/>
      <c r="H71" s="34"/>
      <c r="I71" s="25">
        <v>210</v>
      </c>
      <c r="J71" s="18">
        <v>126</v>
      </c>
      <c r="K71" s="24">
        <v>85</v>
      </c>
    </row>
    <row r="72" spans="4:13" ht="18.600000000000001" thickBot="1" x14ac:dyDescent="0.4">
      <c r="E72" s="18" t="s">
        <v>106</v>
      </c>
      <c r="F72" s="34" t="s">
        <v>111</v>
      </c>
      <c r="G72" s="34"/>
      <c r="H72" s="34"/>
      <c r="I72" s="25">
        <v>220</v>
      </c>
      <c r="J72" s="18">
        <v>70</v>
      </c>
      <c r="K72" s="24">
        <v>30</v>
      </c>
    </row>
    <row r="74" spans="4:13" ht="18.600000000000001" thickBot="1" x14ac:dyDescent="0.4"/>
    <row r="75" spans="4:13" ht="28.8" customHeight="1" thickBot="1" x14ac:dyDescent="0.4">
      <c r="D75" s="35" t="s">
        <v>113</v>
      </c>
      <c r="E75" s="36"/>
      <c r="F75" s="36"/>
      <c r="G75" s="36"/>
      <c r="H75" s="36"/>
      <c r="I75" s="36"/>
      <c r="J75" s="36"/>
      <c r="K75" s="36"/>
      <c r="L75" s="36"/>
      <c r="M75" s="37"/>
    </row>
    <row r="76" spans="4:13" ht="36.6" thickBot="1" x14ac:dyDescent="0.4">
      <c r="D76" s="26" t="s">
        <v>2</v>
      </c>
      <c r="E76" s="26" t="s">
        <v>85</v>
      </c>
      <c r="F76" s="27" t="s">
        <v>86</v>
      </c>
      <c r="G76" s="27" t="s">
        <v>87</v>
      </c>
      <c r="H76" s="26" t="s">
        <v>88</v>
      </c>
      <c r="I76" s="26" t="s">
        <v>89</v>
      </c>
      <c r="J76" s="26" t="s">
        <v>90</v>
      </c>
      <c r="K76" s="26" t="s">
        <v>91</v>
      </c>
      <c r="L76" s="27" t="s">
        <v>92</v>
      </c>
      <c r="M76" s="26" t="s">
        <v>93</v>
      </c>
    </row>
    <row r="77" spans="4:13" ht="18.600000000000001" thickBot="1" x14ac:dyDescent="0.4">
      <c r="D77" s="18">
        <v>1</v>
      </c>
      <c r="E77" s="19" t="s">
        <v>95</v>
      </c>
      <c r="F77" s="18" t="s">
        <v>108</v>
      </c>
      <c r="G77" s="24">
        <v>300</v>
      </c>
      <c r="H77" s="18">
        <v>130</v>
      </c>
      <c r="I77" s="18">
        <v>39000</v>
      </c>
      <c r="J77" s="18">
        <v>315</v>
      </c>
      <c r="K77" s="18">
        <v>100</v>
      </c>
      <c r="L77" s="18">
        <v>31500</v>
      </c>
      <c r="M77" s="18" t="s">
        <v>112</v>
      </c>
    </row>
    <row r="78" spans="4:13" ht="27" customHeight="1" thickBot="1" x14ac:dyDescent="0.4">
      <c r="D78" s="18">
        <v>2</v>
      </c>
      <c r="E78" s="19" t="s">
        <v>96</v>
      </c>
      <c r="F78" s="18" t="s">
        <v>108</v>
      </c>
      <c r="G78" s="24">
        <v>300</v>
      </c>
      <c r="H78" s="18">
        <v>130</v>
      </c>
      <c r="I78" s="18">
        <v>39000</v>
      </c>
      <c r="J78" s="18">
        <v>310</v>
      </c>
      <c r="K78" s="18">
        <v>100</v>
      </c>
      <c r="L78" s="18">
        <v>31000</v>
      </c>
      <c r="M78" s="18" t="s">
        <v>112</v>
      </c>
    </row>
    <row r="79" spans="4:13" ht="18.600000000000001" thickBot="1" x14ac:dyDescent="0.4">
      <c r="D79" s="34" t="s">
        <v>94</v>
      </c>
      <c r="E79" s="34"/>
      <c r="F79" s="34"/>
      <c r="G79" s="23">
        <v>1960</v>
      </c>
      <c r="H79" s="23">
        <v>832</v>
      </c>
      <c r="I79" s="23">
        <v>206720</v>
      </c>
      <c r="J79" s="18">
        <v>1970</v>
      </c>
      <c r="K79" s="23">
        <v>550</v>
      </c>
      <c r="L79" s="18">
        <v>1083500</v>
      </c>
      <c r="M79" s="23"/>
    </row>
  </sheetData>
  <mergeCells count="18">
    <mergeCell ref="D79:F79"/>
    <mergeCell ref="D75:M75"/>
    <mergeCell ref="E67:I67"/>
    <mergeCell ref="F68:H68"/>
    <mergeCell ref="F69:H69"/>
    <mergeCell ref="F70:H70"/>
    <mergeCell ref="F71:H71"/>
    <mergeCell ref="F72:H72"/>
    <mergeCell ref="D50:I50"/>
    <mergeCell ref="D51:I51"/>
    <mergeCell ref="D52:I52"/>
    <mergeCell ref="D53:I53"/>
    <mergeCell ref="D66:F66"/>
    <mergeCell ref="D17:G17"/>
    <mergeCell ref="D18:G18"/>
    <mergeCell ref="D19:G19"/>
    <mergeCell ref="D3:N3"/>
    <mergeCell ref="D23:K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Vũ Hồng</dc:creator>
  <cp:lastModifiedBy>Hà Vũ Hồng</cp:lastModifiedBy>
  <dcterms:created xsi:type="dcterms:W3CDTF">2025-12-19T16:11:39Z</dcterms:created>
  <dcterms:modified xsi:type="dcterms:W3CDTF">2025-12-20T08:10:28Z</dcterms:modified>
</cp:coreProperties>
</file>