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A73C1E16-5F29-4D1F-A36F-0BA0BBB7D4B2}" xr6:coauthVersionLast="45" xr6:coauthVersionMax="45" xr10:uidLastSave="{00000000-0000-0000-0000-000000000000}"/>
  <bookViews>
    <workbookView xWindow="-120" yWindow="-120" windowWidth="20730" windowHeight="11160" activeTab="3" xr2:uid="{D8BED9A5-D55A-4535-A6FE-065037B675EA}"/>
  </bookViews>
  <sheets>
    <sheet name="BẢNG TÍNH 1" sheetId="1" r:id="rId1"/>
    <sheet name="BẢNG TÍNH 2" sheetId="2" r:id="rId2"/>
    <sheet name="BẢNG TÍNH 3" sheetId="3" r:id="rId3"/>
    <sheet name="BẢNG TÍNH 4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0" i="3" l="1"/>
  <c r="J19" i="3"/>
  <c r="J18" i="3"/>
  <c r="J1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I20" i="3"/>
  <c r="I19" i="3"/>
  <c r="I18" i="3"/>
  <c r="I17" i="3"/>
  <c r="H20" i="3"/>
  <c r="H19" i="3"/>
  <c r="H18" i="3"/>
  <c r="H17" i="3"/>
  <c r="G20" i="3"/>
  <c r="G19" i="3"/>
  <c r="G18" i="3"/>
  <c r="G1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H4" i="3" l="1"/>
  <c r="H3" i="3"/>
  <c r="H5" i="3"/>
  <c r="H6" i="3"/>
  <c r="H7" i="3"/>
  <c r="H8" i="3"/>
  <c r="H9" i="3"/>
  <c r="H10" i="3"/>
  <c r="H11" i="3"/>
  <c r="H12" i="3"/>
  <c r="H13" i="3"/>
  <c r="H14" i="3"/>
  <c r="H15" i="3"/>
  <c r="H16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H2" i="3"/>
  <c r="H4" i="2"/>
  <c r="H5" i="2"/>
  <c r="H6" i="2"/>
  <c r="H7" i="2"/>
  <c r="H8" i="2"/>
  <c r="H3" i="2"/>
  <c r="G4" i="2"/>
  <c r="G5" i="2"/>
  <c r="G6" i="2"/>
  <c r="G7" i="2"/>
  <c r="G8" i="2"/>
  <c r="G3" i="2"/>
  <c r="F4" i="2"/>
  <c r="F5" i="2"/>
  <c r="F6" i="2"/>
  <c r="F7" i="2"/>
  <c r="F8" i="2"/>
  <c r="F3" i="2"/>
  <c r="H4" i="1"/>
  <c r="J4" i="1" s="1"/>
  <c r="K4" i="1" s="1"/>
  <c r="H5" i="1"/>
  <c r="J5" i="1" s="1"/>
  <c r="K5" i="1" s="1"/>
  <c r="H6" i="1"/>
  <c r="J6" i="1" s="1"/>
  <c r="K6" i="1" s="1"/>
  <c r="H7" i="1"/>
  <c r="J7" i="1" s="1"/>
  <c r="K7" i="1" s="1"/>
  <c r="H8" i="1"/>
  <c r="J8" i="1" s="1"/>
  <c r="K8" i="1" s="1"/>
  <c r="H9" i="1"/>
  <c r="J9" i="1" s="1"/>
  <c r="K9" i="1" s="1"/>
  <c r="H10" i="1"/>
  <c r="J10" i="1" s="1"/>
  <c r="K10" i="1" s="1"/>
  <c r="H11" i="1"/>
  <c r="J11" i="1" s="1"/>
  <c r="K11" i="1" s="1"/>
  <c r="H12" i="1"/>
  <c r="J12" i="1" s="1"/>
  <c r="K12" i="1" s="1"/>
  <c r="H13" i="1"/>
  <c r="J13" i="1" s="1"/>
  <c r="K13" i="1" s="1"/>
  <c r="H14" i="1"/>
  <c r="J14" i="1" s="1"/>
  <c r="K14" i="1" s="1"/>
  <c r="H3" i="1"/>
  <c r="H15" i="1" s="1"/>
  <c r="H16" i="1" l="1"/>
  <c r="J3" i="1"/>
  <c r="K3" i="1" s="1"/>
  <c r="H17" i="1"/>
</calcChain>
</file>

<file path=xl/sharedStrings.xml><?xml version="1.0" encoding="utf-8"?>
<sst xmlns="http://schemas.openxmlformats.org/spreadsheetml/2006/main" count="140" uniqueCount="99">
  <si>
    <t xml:space="preserve">KẾT QUẢ THI CUỐI KHÓA 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</si>
  <si>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</si>
  <si>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</si>
  <si>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</si>
  <si>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</si>
  <si>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</si>
  <si>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</si>
  <si>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</si>
  <si>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</si>
  <si>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</si>
  <si>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</si>
  <si>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LÂM</t>
  </si>
  <si>
    <t>HẢI</t>
  </si>
  <si>
    <t>HIỆP</t>
  </si>
  <si>
    <t>THẢO</t>
  </si>
  <si>
    <t>MINH</t>
  </si>
  <si>
    <t>HỒNG</t>
  </si>
  <si>
    <t>LINH</t>
  </si>
  <si>
    <t>NAM</t>
  </si>
  <si>
    <t>DIỄM</t>
  </si>
  <si>
    <t>NGA</t>
  </si>
  <si>
    <t>KHOA</t>
  </si>
  <si>
    <t>SƠN</t>
  </si>
  <si>
    <t>NỮ</t>
  </si>
  <si>
    <t>TRUNG BÌNH</t>
  </si>
  <si>
    <t>CAO NHẤT</t>
  </si>
  <si>
    <t>THẤP NHẤT</t>
  </si>
  <si>
    <t>ĐẠT</t>
  </si>
  <si>
    <t>RỚT</t>
  </si>
  <si>
    <t>KHEN THƯỞNG</t>
  </si>
  <si>
    <t>DANH SÁCH THƯỞNG THÁNG 03</t>
  </si>
  <si>
    <t>HỌ</t>
  </si>
  <si>
    <t>TÊN</t>
  </si>
  <si>
    <t>NGÀY CÔNG</t>
  </si>
  <si>
    <t>THƯỞNG 8-3</t>
  </si>
  <si>
    <t>THƯỞNG A</t>
  </si>
  <si>
    <t>Trần Thanh</t>
  </si>
  <si>
    <t>Tuấn</t>
  </si>
  <si>
    <t>Nam</t>
  </si>
  <si>
    <t>Phạm Hùng</t>
  </si>
  <si>
    <t>Cường</t>
  </si>
  <si>
    <t xml:space="preserve">Lê Ngọc </t>
  </si>
  <si>
    <t>Xuân</t>
  </si>
  <si>
    <t>Phạm Thanh</t>
  </si>
  <si>
    <t>Long</t>
  </si>
  <si>
    <t xml:space="preserve">Phạm Hoài </t>
  </si>
  <si>
    <t>Lê Thanh</t>
  </si>
  <si>
    <t>Lan</t>
  </si>
  <si>
    <t>THƯỞNG B</t>
  </si>
  <si>
    <t>HỌ VÀ TÊN</t>
  </si>
  <si>
    <t>CHỨC VỤ</t>
  </si>
  <si>
    <t>NĂM SINH</t>
  </si>
  <si>
    <t>LCB</t>
  </si>
  <si>
    <t>NGÀY</t>
  </si>
  <si>
    <t>LƯƠNG</t>
  </si>
  <si>
    <t>TẠM ỨNG</t>
  </si>
  <si>
    <t>Nguyễn Văn Tâm</t>
  </si>
  <si>
    <t>Nguyễn Thị Hằng</t>
  </si>
  <si>
    <t>Ngô Thị Nga</t>
  </si>
  <si>
    <t xml:space="preserve">Trần Thiên Thu </t>
  </si>
  <si>
    <t>Lâm Hoàng Cát</t>
  </si>
  <si>
    <t>Lê Hoài Sơn</t>
  </si>
  <si>
    <t>Lý Lâm</t>
  </si>
  <si>
    <t>Trần Văn Trung</t>
  </si>
  <si>
    <t>Nguyễn Văn Trang</t>
  </si>
  <si>
    <t>Lý Thu Nga</t>
  </si>
  <si>
    <t xml:space="preserve">Nguyễn Văn Hùng </t>
  </si>
  <si>
    <t>Trần Thị Phương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</si>
  <si>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</si>
  <si>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</si>
  <si>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</si>
  <si>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</si>
  <si>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</si>
  <si>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</si>
  <si>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</si>
  <si>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</si>
  <si>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</si>
  <si>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</si>
  <si>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TỔNG CỘNG</t>
  </si>
  <si>
    <t>BÌNH QUÂN</t>
  </si>
  <si>
    <t xml:space="preserve">THẤP NHẤT </t>
  </si>
  <si>
    <t>THƯỞNG</t>
  </si>
  <si>
    <t>CÒN LẠI</t>
  </si>
  <si>
    <t>MÃ HÀNG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</si>
  <si>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</si>
  <si>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</si>
  <si>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</si>
  <si>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</si>
  <si>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</si>
  <si>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</si>
  <si>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</si>
  <si>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</si>
  <si>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</si>
  <si>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</si>
  <si>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</si>
  <si>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</si>
  <si>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Hi0C12</t>
  </si>
  <si>
    <t>Hi0A13</t>
  </si>
  <si>
    <t>To0B12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</si>
</sst>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5961-AE8A-48B9-8F43-8B3BA278CC92}">
  <dimension ref="A1:K17"/>
  <sheetViews>
    <sheetView workbookViewId="0">
      <selection activeCell="L4" sqref="L4"/>
    </sheetView>
  </sheetViews>
  <sheetFormatPr defaultRowHeight="15.75" x14ac:dyDescent="0.25"/>
  <cols>
    <col min="7" max="7" width="12.125" customWidth="1"/>
    <col min="10" max="10" width="10.5" customWidth="1"/>
    <col min="11" max="11" width="15.25" customWidth="1"/>
  </cols>
  <sheetData>
    <row r="1" spans="1:11" ht="19.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1.5" customHeight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29</v>
      </c>
    </row>
    <row r="3" spans="1:11" x14ac:dyDescent="0.25">
      <c r="A3">
        <v>1</v>
      </c>
      <c r="B3" t="s">
        <v>11</v>
      </c>
      <c r="C3" t="s">
        <v>18</v>
      </c>
      <c r="D3">
        <v>1988</v>
      </c>
      <c r="E3">
        <v>10</v>
      </c>
      <c r="F3">
        <v>8</v>
      </c>
      <c r="G3">
        <v>9</v>
      </c>
      <c r="H3">
        <f>(E3*2+F3*2+G3)/5</f>
        <v>9</v>
      </c>
      <c r="I3" t="s">
        <v>27</v>
      </c>
      <c r="J3">
        <f>RANK(H3,$H$3:$H$14,0)</f>
        <v>1</v>
      </c>
      <c r="K3">
        <f>IF(J3=1,200000,IF(J3=2,100000,0))</f>
        <v>200000</v>
      </c>
    </row>
    <row r="4" spans="1:11" x14ac:dyDescent="0.25">
      <c r="A4">
        <v>2</v>
      </c>
      <c r="B4" t="s">
        <v>12</v>
      </c>
      <c r="C4" t="s">
        <v>18</v>
      </c>
      <c r="D4">
        <v>1987</v>
      </c>
      <c r="E4">
        <v>8</v>
      </c>
      <c r="F4">
        <v>8.5</v>
      </c>
      <c r="G4">
        <v>9</v>
      </c>
      <c r="H4">
        <f t="shared" ref="H4:H14" si="0">(E4*2+F4*2+G4)/5</f>
        <v>8.4</v>
      </c>
      <c r="I4" t="s">
        <v>27</v>
      </c>
      <c r="J4">
        <f t="shared" ref="J4:J14" si="1">RANK(H4,$H$3:$H$14,0)</f>
        <v>2</v>
      </c>
      <c r="K4">
        <f t="shared" ref="K4:K14" si="2">IF(J4=1,200000,IF(J4=2,100000,0))</f>
        <v>100000</v>
      </c>
    </row>
    <row r="5" spans="1:11" x14ac:dyDescent="0.25">
      <c r="A5">
        <v>3</v>
      </c>
      <c r="B5" t="s">
        <v>13</v>
      </c>
      <c r="C5" t="s">
        <v>18</v>
      </c>
      <c r="D5">
        <v>1986</v>
      </c>
      <c r="E5">
        <v>9</v>
      </c>
      <c r="F5">
        <v>8</v>
      </c>
      <c r="G5">
        <v>7</v>
      </c>
      <c r="H5">
        <f t="shared" si="0"/>
        <v>8.1999999999999993</v>
      </c>
      <c r="I5" t="s">
        <v>27</v>
      </c>
      <c r="J5">
        <f t="shared" si="1"/>
        <v>3</v>
      </c>
      <c r="K5">
        <f t="shared" si="2"/>
        <v>0</v>
      </c>
    </row>
    <row r="6" spans="1:11" x14ac:dyDescent="0.25">
      <c r="A6">
        <v>4</v>
      </c>
      <c r="B6" t="s">
        <v>14</v>
      </c>
      <c r="C6" t="s">
        <v>23</v>
      </c>
      <c r="D6">
        <v>1988</v>
      </c>
      <c r="E6">
        <v>10</v>
      </c>
      <c r="F6">
        <v>4</v>
      </c>
      <c r="G6">
        <v>7</v>
      </c>
      <c r="H6">
        <f t="shared" si="0"/>
        <v>7</v>
      </c>
      <c r="I6" t="s">
        <v>27</v>
      </c>
      <c r="J6">
        <f t="shared" si="1"/>
        <v>4</v>
      </c>
      <c r="K6">
        <f t="shared" si="2"/>
        <v>0</v>
      </c>
    </row>
    <row r="7" spans="1:11" x14ac:dyDescent="0.25">
      <c r="A7">
        <v>5</v>
      </c>
      <c r="B7" t="s">
        <v>15</v>
      </c>
      <c r="C7" t="s">
        <v>18</v>
      </c>
      <c r="D7">
        <v>1988</v>
      </c>
      <c r="E7">
        <v>9</v>
      </c>
      <c r="F7">
        <v>5</v>
      </c>
      <c r="G7">
        <v>6</v>
      </c>
      <c r="H7">
        <f t="shared" si="0"/>
        <v>6.8</v>
      </c>
      <c r="I7" t="s">
        <v>27</v>
      </c>
      <c r="J7">
        <f t="shared" si="1"/>
        <v>5</v>
      </c>
      <c r="K7">
        <f t="shared" si="2"/>
        <v>0</v>
      </c>
    </row>
    <row r="8" spans="1:11" x14ac:dyDescent="0.25">
      <c r="A8">
        <v>6</v>
      </c>
      <c r="B8" t="s">
        <v>16</v>
      </c>
      <c r="C8" t="s">
        <v>23</v>
      </c>
      <c r="D8">
        <v>1987</v>
      </c>
      <c r="E8">
        <v>6</v>
      </c>
      <c r="F8">
        <v>6</v>
      </c>
      <c r="G8">
        <v>8</v>
      </c>
      <c r="H8">
        <f t="shared" si="0"/>
        <v>6.4</v>
      </c>
      <c r="I8" t="s">
        <v>27</v>
      </c>
      <c r="J8">
        <f t="shared" si="1"/>
        <v>6</v>
      </c>
      <c r="K8">
        <f t="shared" si="2"/>
        <v>0</v>
      </c>
    </row>
    <row r="9" spans="1:11" x14ac:dyDescent="0.25">
      <c r="A9">
        <v>7</v>
      </c>
      <c r="B9" t="s">
        <v>17</v>
      </c>
      <c r="C9" t="s">
        <v>18</v>
      </c>
      <c r="D9">
        <v>1986</v>
      </c>
      <c r="E9">
        <v>7.5</v>
      </c>
      <c r="F9">
        <v>5</v>
      </c>
      <c r="G9">
        <v>6</v>
      </c>
      <c r="H9">
        <f t="shared" si="0"/>
        <v>6.2</v>
      </c>
      <c r="I9" t="s">
        <v>27</v>
      </c>
      <c r="J9">
        <f t="shared" si="1"/>
        <v>7</v>
      </c>
      <c r="K9">
        <f t="shared" si="2"/>
        <v>0</v>
      </c>
    </row>
    <row r="10" spans="1:11" x14ac:dyDescent="0.25">
      <c r="A10">
        <v>8</v>
      </c>
      <c r="B10" t="s">
        <v>18</v>
      </c>
      <c r="C10" t="s">
        <v>18</v>
      </c>
      <c r="D10">
        <v>1988</v>
      </c>
      <c r="E10">
        <v>3</v>
      </c>
      <c r="F10">
        <v>9</v>
      </c>
      <c r="G10">
        <v>7</v>
      </c>
      <c r="H10">
        <f t="shared" si="0"/>
        <v>6.2</v>
      </c>
      <c r="I10" t="s">
        <v>27</v>
      </c>
      <c r="J10">
        <f t="shared" si="1"/>
        <v>7</v>
      </c>
      <c r="K10">
        <f t="shared" si="2"/>
        <v>0</v>
      </c>
    </row>
    <row r="11" spans="1:11" x14ac:dyDescent="0.25">
      <c r="A11">
        <v>9</v>
      </c>
      <c r="B11" t="s">
        <v>19</v>
      </c>
      <c r="C11" t="s">
        <v>23</v>
      </c>
      <c r="D11">
        <v>1988</v>
      </c>
      <c r="E11">
        <v>4</v>
      </c>
      <c r="F11">
        <v>5</v>
      </c>
      <c r="G11">
        <v>5.5</v>
      </c>
      <c r="H11">
        <f t="shared" si="0"/>
        <v>4.7</v>
      </c>
      <c r="I11" t="s">
        <v>28</v>
      </c>
      <c r="J11">
        <f t="shared" si="1"/>
        <v>10</v>
      </c>
      <c r="K11">
        <f t="shared" si="2"/>
        <v>0</v>
      </c>
    </row>
    <row r="12" spans="1:11" x14ac:dyDescent="0.25">
      <c r="A12">
        <v>10</v>
      </c>
      <c r="B12" t="s">
        <v>20</v>
      </c>
      <c r="C12" t="s">
        <v>23</v>
      </c>
      <c r="D12">
        <v>1988</v>
      </c>
      <c r="E12">
        <v>4.5</v>
      </c>
      <c r="F12">
        <v>6</v>
      </c>
      <c r="G12">
        <v>4</v>
      </c>
      <c r="H12">
        <f t="shared" si="0"/>
        <v>5</v>
      </c>
      <c r="I12" t="s">
        <v>27</v>
      </c>
      <c r="J12">
        <f t="shared" si="1"/>
        <v>9</v>
      </c>
      <c r="K12">
        <f t="shared" si="2"/>
        <v>0</v>
      </c>
    </row>
    <row r="13" spans="1:11" x14ac:dyDescent="0.25">
      <c r="A13">
        <v>11</v>
      </c>
      <c r="B13" t="s">
        <v>21</v>
      </c>
      <c r="C13" t="s">
        <v>18</v>
      </c>
      <c r="D13">
        <v>1987</v>
      </c>
      <c r="E13">
        <v>3</v>
      </c>
      <c r="F13">
        <v>5</v>
      </c>
      <c r="G13">
        <v>5</v>
      </c>
      <c r="H13">
        <f t="shared" si="0"/>
        <v>4.2</v>
      </c>
      <c r="I13" t="s">
        <v>28</v>
      </c>
      <c r="J13">
        <f t="shared" si="1"/>
        <v>11</v>
      </c>
      <c r="K13">
        <f t="shared" si="2"/>
        <v>0</v>
      </c>
    </row>
    <row r="14" spans="1:11" x14ac:dyDescent="0.25">
      <c r="A14">
        <v>12</v>
      </c>
      <c r="B14" t="s">
        <v>22</v>
      </c>
      <c r="C14" t="s">
        <v>18</v>
      </c>
      <c r="D14">
        <v>1986</v>
      </c>
      <c r="E14">
        <v>4</v>
      </c>
      <c r="F14">
        <v>3</v>
      </c>
      <c r="G14">
        <v>5</v>
      </c>
      <c r="H14">
        <f t="shared" si="0"/>
        <v>3.8</v>
      </c>
      <c r="I14" t="s">
        <v>28</v>
      </c>
      <c r="J14">
        <f t="shared" si="1"/>
        <v>12</v>
      </c>
      <c r="K14">
        <f t="shared" si="2"/>
        <v>0</v>
      </c>
    </row>
    <row r="15" spans="1:11" x14ac:dyDescent="0.25">
      <c r="A15" s="2" t="s">
        <v>24</v>
      </c>
      <c r="B15" s="2"/>
      <c r="C15" s="2"/>
      <c r="D15" s="2"/>
      <c r="H15">
        <f>AVERAGE(H3:H14)</f>
        <v>6.3250000000000002</v>
      </c>
    </row>
    <row r="16" spans="1:11" x14ac:dyDescent="0.25">
      <c r="A16" s="2" t="s">
        <v>25</v>
      </c>
      <c r="B16" s="2"/>
      <c r="C16" s="2"/>
      <c r="D16" s="2"/>
      <c r="H16">
        <f>MAX(H3:H14)</f>
        <v>9</v>
      </c>
    </row>
    <row r="17" spans="1:8" x14ac:dyDescent="0.25">
      <c r="A17" s="2" t="s">
        <v>26</v>
      </c>
      <c r="B17" s="2"/>
      <c r="C17" s="2"/>
      <c r="D17" s="2"/>
      <c r="H17">
        <f>MIN(H3:H14)</f>
        <v>3.8</v>
      </c>
    </row>
  </sheetData>
  <mergeCells count="4">
    <mergeCell ref="A1:K1"/>
    <mergeCell ref="A15:D15"/>
    <mergeCell ref="A16:D16"/>
    <mergeCell ref="A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DC3A-0148-4C79-9F57-35F420AAC7C4}">
  <dimension ref="A1:H8"/>
  <sheetViews>
    <sheetView workbookViewId="0">
      <selection activeCell="H8" sqref="H8"/>
    </sheetView>
  </sheetViews>
  <sheetFormatPr defaultRowHeight="15.75" x14ac:dyDescent="0.25"/>
  <cols>
    <col min="2" max="2" width="11" customWidth="1"/>
    <col min="3" max="3" width="10.25" customWidth="1"/>
    <col min="5" max="5" width="12.5" customWidth="1"/>
    <col min="6" max="6" width="12.375" customWidth="1"/>
    <col min="7" max="7" width="11.375" customWidth="1"/>
    <col min="8" max="8" width="10.75" customWidth="1"/>
  </cols>
  <sheetData>
    <row r="1" spans="1:8" ht="31.5" customHeight="1" x14ac:dyDescent="0.25">
      <c r="A1" s="2" t="s">
        <v>30</v>
      </c>
      <c r="B1" s="2"/>
      <c r="C1" s="2"/>
      <c r="D1" s="2"/>
      <c r="E1" s="2"/>
      <c r="F1" s="2"/>
      <c r="G1" s="2"/>
    </row>
    <row r="2" spans="1:8" x14ac:dyDescent="0.25">
      <c r="A2" t="s">
        <v>1</v>
      </c>
      <c r="B2" t="s">
        <v>31</v>
      </c>
      <c r="C2" t="s">
        <v>32</v>
      </c>
      <c r="D2" t="s">
        <v>3</v>
      </c>
      <c r="E2" t="s">
        <v>33</v>
      </c>
      <c r="F2" t="s">
        <v>34</v>
      </c>
      <c r="G2" t="s">
        <v>35</v>
      </c>
      <c r="H2" t="s">
        <v>48</v>
      </c>
    </row>
    <row r="3" spans="1:8" x14ac:dyDescent="0.25">
      <c r="A3">
        <v>1</v>
      </c>
      <c r="B3" t="s">
        <v>36</v>
      </c>
      <c r="C3" t="s">
        <v>37</v>
      </c>
      <c r="D3" t="s">
        <v>18</v>
      </c>
      <c r="E3">
        <v>25</v>
      </c>
      <c r="F3">
        <f>IF(D3="NỮ",200000,0)</f>
        <v>0</v>
      </c>
      <c r="G3">
        <f>IF(E3&gt;=24,300000,0)</f>
        <v>300000</v>
      </c>
      <c r="H3">
        <f>IF(OR(AND(D3="NAM",E3&gt;26),AND(D3="NỮ",E3&gt;25)),100000,0)</f>
        <v>0</v>
      </c>
    </row>
    <row r="4" spans="1:8" x14ac:dyDescent="0.25">
      <c r="A4">
        <v>2</v>
      </c>
      <c r="B4" t="s">
        <v>39</v>
      </c>
      <c r="C4" t="s">
        <v>40</v>
      </c>
      <c r="D4" t="s">
        <v>18</v>
      </c>
      <c r="E4">
        <v>24</v>
      </c>
      <c r="F4">
        <f t="shared" ref="F4:F8" si="0">IF(D4="NỮ",200000,0)</f>
        <v>0</v>
      </c>
      <c r="G4">
        <f t="shared" ref="G4:G8" si="1">IF(E4&gt;=24,300000,0)</f>
        <v>300000</v>
      </c>
      <c r="H4">
        <f t="shared" ref="H4:H8" si="2">IF(OR(AND(D4="NAM",E4&gt;26),AND(D4="NỮ",E4&gt;25)),100000,0)</f>
        <v>0</v>
      </c>
    </row>
    <row r="5" spans="1:8" x14ac:dyDescent="0.25">
      <c r="A5">
        <v>3</v>
      </c>
      <c r="B5" t="s">
        <v>41</v>
      </c>
      <c r="C5" t="s">
        <v>42</v>
      </c>
      <c r="D5" t="s">
        <v>23</v>
      </c>
      <c r="E5">
        <v>26</v>
      </c>
      <c r="F5">
        <f t="shared" si="0"/>
        <v>200000</v>
      </c>
      <c r="G5">
        <f t="shared" si="1"/>
        <v>300000</v>
      </c>
      <c r="H5">
        <f t="shared" si="2"/>
        <v>100000</v>
      </c>
    </row>
    <row r="6" spans="1:8" x14ac:dyDescent="0.25">
      <c r="A6">
        <v>4</v>
      </c>
      <c r="B6" t="s">
        <v>43</v>
      </c>
      <c r="C6" t="s">
        <v>44</v>
      </c>
      <c r="D6" t="s">
        <v>23</v>
      </c>
      <c r="E6">
        <v>22</v>
      </c>
      <c r="F6">
        <f t="shared" si="0"/>
        <v>200000</v>
      </c>
      <c r="G6">
        <f t="shared" si="1"/>
        <v>0</v>
      </c>
      <c r="H6">
        <f t="shared" si="2"/>
        <v>0</v>
      </c>
    </row>
    <row r="7" spans="1:8" x14ac:dyDescent="0.25">
      <c r="A7">
        <v>5</v>
      </c>
      <c r="B7" t="s">
        <v>45</v>
      </c>
      <c r="C7" t="s">
        <v>38</v>
      </c>
      <c r="D7" t="s">
        <v>18</v>
      </c>
      <c r="E7">
        <v>27</v>
      </c>
      <c r="F7">
        <f t="shared" si="0"/>
        <v>0</v>
      </c>
      <c r="G7">
        <f t="shared" si="1"/>
        <v>300000</v>
      </c>
      <c r="H7">
        <f t="shared" si="2"/>
        <v>100000</v>
      </c>
    </row>
    <row r="8" spans="1:8" x14ac:dyDescent="0.25">
      <c r="A8">
        <v>6</v>
      </c>
      <c r="B8" t="s">
        <v>46</v>
      </c>
      <c r="C8" t="s">
        <v>47</v>
      </c>
      <c r="D8" t="s">
        <v>23</v>
      </c>
      <c r="E8">
        <v>25</v>
      </c>
      <c r="F8">
        <f t="shared" si="0"/>
        <v>200000</v>
      </c>
      <c r="G8">
        <f t="shared" si="1"/>
        <v>300000</v>
      </c>
      <c r="H8">
        <f t="shared" si="2"/>
        <v>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673F-C9A6-4E85-91A1-41B7AE0D15B9}">
  <dimension ref="A1:J20"/>
  <sheetViews>
    <sheetView workbookViewId="0">
      <selection activeCell="J20" sqref="J20"/>
    </sheetView>
  </sheetViews>
  <sheetFormatPr defaultRowHeight="15.75" x14ac:dyDescent="0.25"/>
  <cols>
    <col min="2" max="2" width="15.625" customWidth="1"/>
    <col min="3" max="3" width="10.125" customWidth="1"/>
    <col min="4" max="4" width="10.625" customWidth="1"/>
    <col min="8" max="8" width="10.5" customWidth="1"/>
    <col min="9" max="9" width="11.625" customWidth="1"/>
    <col min="10" max="10" width="10.5" customWidth="1"/>
  </cols>
  <sheetData>
    <row r="1" spans="1:10" x14ac:dyDescent="0.25">
      <c r="A1" t="s">
        <v>1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81</v>
      </c>
      <c r="J1" t="s">
        <v>82</v>
      </c>
    </row>
    <row r="2" spans="1:10" x14ac:dyDescent="0.25">
      <c r="A2">
        <v>1</v>
      </c>
      <c r="B2" t="s">
        <v>56</v>
      </c>
      <c r="C2" t="s">
        <v>71</v>
      </c>
      <c r="D2" s="1">
        <v>24524</v>
      </c>
      <c r="E2">
        <v>120000</v>
      </c>
      <c r="F2">
        <v>25</v>
      </c>
      <c r="G2">
        <f>F2*E$2</f>
        <v>3000000</v>
      </c>
      <c r="H2">
        <f>80%*G$2</f>
        <v>2400000</v>
      </c>
      <c r="I2">
        <f>IF(C2="GĐ",500000,IF(C2="PGĐ",400000,IF(C2="TP",300000,IF(C2="PP",200000,100000))))</f>
        <v>300000</v>
      </c>
      <c r="J2">
        <f>G2-H2</f>
        <v>600000</v>
      </c>
    </row>
    <row r="3" spans="1:10" x14ac:dyDescent="0.25">
      <c r="A3">
        <v>2</v>
      </c>
      <c r="B3" t="s">
        <v>57</v>
      </c>
      <c r="C3" t="s">
        <v>72</v>
      </c>
      <c r="D3" s="1">
        <v>27659</v>
      </c>
      <c r="E3">
        <v>160000</v>
      </c>
      <c r="F3">
        <v>24</v>
      </c>
      <c r="G3">
        <f>F3*E$3</f>
        <v>3840000</v>
      </c>
      <c r="H3">
        <f>80%*G$4</f>
        <v>3120000</v>
      </c>
      <c r="I3">
        <f t="shared" ref="I3:I16" si="0">IF(C3="GĐ",500000,IF(C3="PGĐ",400000,IF(C3="TP",300000,IF(C3="PP",200000,100000))))</f>
        <v>100000</v>
      </c>
      <c r="J3">
        <f t="shared" ref="J3:J16" si="1">G3-H3</f>
        <v>720000</v>
      </c>
    </row>
    <row r="4" spans="1:10" x14ac:dyDescent="0.25">
      <c r="A4">
        <v>3</v>
      </c>
      <c r="B4" t="s">
        <v>58</v>
      </c>
      <c r="C4" t="s">
        <v>73</v>
      </c>
      <c r="D4" s="1">
        <v>24972</v>
      </c>
      <c r="E4">
        <v>150000</v>
      </c>
      <c r="F4">
        <v>26</v>
      </c>
      <c r="G4">
        <f>F4*E$4</f>
        <v>3900000</v>
      </c>
      <c r="H4">
        <f>80%*G$3</f>
        <v>3072000</v>
      </c>
      <c r="I4">
        <f t="shared" si="0"/>
        <v>200000</v>
      </c>
      <c r="J4">
        <f t="shared" si="1"/>
        <v>828000</v>
      </c>
    </row>
    <row r="5" spans="1:10" x14ac:dyDescent="0.25">
      <c r="A5">
        <v>4</v>
      </c>
      <c r="B5" t="s">
        <v>59</v>
      </c>
      <c r="C5" t="s">
        <v>72</v>
      </c>
      <c r="D5" s="1">
        <v>21231</v>
      </c>
      <c r="E5">
        <v>130000</v>
      </c>
      <c r="F5">
        <v>20</v>
      </c>
      <c r="G5">
        <f>F5*E$5</f>
        <v>2600000</v>
      </c>
      <c r="H5">
        <f t="shared" ref="H5:H16" si="2">80%*G$3</f>
        <v>3072000</v>
      </c>
      <c r="I5">
        <f t="shared" si="0"/>
        <v>100000</v>
      </c>
      <c r="J5">
        <f t="shared" si="1"/>
        <v>-472000</v>
      </c>
    </row>
    <row r="6" spans="1:10" x14ac:dyDescent="0.25">
      <c r="A6">
        <v>5</v>
      </c>
      <c r="B6" t="s">
        <v>60</v>
      </c>
      <c r="C6" t="s">
        <v>74</v>
      </c>
      <c r="D6" s="1">
        <v>28728</v>
      </c>
      <c r="E6">
        <v>180000</v>
      </c>
      <c r="F6">
        <v>23</v>
      </c>
      <c r="G6">
        <f>F6*E$6</f>
        <v>4140000</v>
      </c>
      <c r="H6">
        <f t="shared" si="2"/>
        <v>3072000</v>
      </c>
      <c r="I6">
        <f t="shared" si="0"/>
        <v>100000</v>
      </c>
      <c r="J6">
        <f t="shared" si="1"/>
        <v>1068000</v>
      </c>
    </row>
    <row r="7" spans="1:10" x14ac:dyDescent="0.25">
      <c r="A7">
        <v>6</v>
      </c>
      <c r="B7" t="s">
        <v>61</v>
      </c>
      <c r="C7" t="s">
        <v>75</v>
      </c>
      <c r="D7" s="1">
        <v>25432</v>
      </c>
      <c r="E7">
        <v>150000</v>
      </c>
      <c r="F7">
        <v>24</v>
      </c>
      <c r="G7">
        <f>F7*E$7</f>
        <v>3600000</v>
      </c>
      <c r="H7">
        <f t="shared" si="2"/>
        <v>3072000</v>
      </c>
      <c r="I7">
        <f t="shared" si="0"/>
        <v>100000</v>
      </c>
      <c r="J7">
        <f t="shared" si="1"/>
        <v>528000</v>
      </c>
    </row>
    <row r="8" spans="1:10" x14ac:dyDescent="0.25">
      <c r="A8">
        <v>7</v>
      </c>
      <c r="B8" t="s">
        <v>62</v>
      </c>
      <c r="C8" t="s">
        <v>73</v>
      </c>
      <c r="D8" s="1">
        <v>25430</v>
      </c>
      <c r="E8">
        <v>140000</v>
      </c>
      <c r="F8">
        <v>27</v>
      </c>
      <c r="G8">
        <f>F8*E$8</f>
        <v>3780000</v>
      </c>
      <c r="H8">
        <f t="shared" si="2"/>
        <v>3072000</v>
      </c>
      <c r="I8">
        <f t="shared" si="0"/>
        <v>200000</v>
      </c>
      <c r="J8">
        <f t="shared" si="1"/>
        <v>708000</v>
      </c>
    </row>
    <row r="9" spans="1:10" x14ac:dyDescent="0.25">
      <c r="A9">
        <v>8</v>
      </c>
      <c r="B9" t="s">
        <v>63</v>
      </c>
      <c r="C9" t="s">
        <v>76</v>
      </c>
      <c r="D9" s="1">
        <v>20796</v>
      </c>
      <c r="E9">
        <v>160000</v>
      </c>
      <c r="F9">
        <v>14</v>
      </c>
      <c r="G9">
        <f>F9*E$9</f>
        <v>2240000</v>
      </c>
      <c r="H9">
        <f t="shared" si="2"/>
        <v>3072000</v>
      </c>
      <c r="I9">
        <f t="shared" si="0"/>
        <v>500000</v>
      </c>
      <c r="J9">
        <f t="shared" si="1"/>
        <v>-832000</v>
      </c>
    </row>
    <row r="10" spans="1:10" x14ac:dyDescent="0.25">
      <c r="A10">
        <v>9</v>
      </c>
      <c r="B10" t="s">
        <v>64</v>
      </c>
      <c r="C10" t="s">
        <v>75</v>
      </c>
      <c r="D10" s="1">
        <v>22194</v>
      </c>
      <c r="E10">
        <v>150000</v>
      </c>
      <c r="F10">
        <v>17</v>
      </c>
      <c r="G10">
        <f>F10*E$10</f>
        <v>2550000</v>
      </c>
      <c r="H10">
        <f t="shared" si="2"/>
        <v>3072000</v>
      </c>
      <c r="I10">
        <f t="shared" si="0"/>
        <v>100000</v>
      </c>
      <c r="J10">
        <f t="shared" si="1"/>
        <v>-522000</v>
      </c>
    </row>
    <row r="11" spans="1:10" x14ac:dyDescent="0.25">
      <c r="A11">
        <v>10</v>
      </c>
      <c r="B11" t="s">
        <v>65</v>
      </c>
      <c r="C11" t="s">
        <v>72</v>
      </c>
      <c r="D11" s="1">
        <v>19859</v>
      </c>
      <c r="E11">
        <v>130000</v>
      </c>
      <c r="F11">
        <v>23</v>
      </c>
      <c r="G11">
        <f>F11*E$11</f>
        <v>2990000</v>
      </c>
      <c r="H11">
        <f t="shared" si="2"/>
        <v>3072000</v>
      </c>
      <c r="I11">
        <f t="shared" si="0"/>
        <v>100000</v>
      </c>
      <c r="J11">
        <f t="shared" si="1"/>
        <v>-82000</v>
      </c>
    </row>
    <row r="12" spans="1:10" x14ac:dyDescent="0.25">
      <c r="A12">
        <v>11</v>
      </c>
      <c r="B12" t="s">
        <v>66</v>
      </c>
      <c r="C12" t="s">
        <v>71</v>
      </c>
      <c r="D12" s="1">
        <v>24731</v>
      </c>
      <c r="E12">
        <v>180000</v>
      </c>
      <c r="F12">
        <v>22</v>
      </c>
      <c r="G12">
        <f>F12*E$12</f>
        <v>3960000</v>
      </c>
      <c r="H12">
        <f t="shared" si="2"/>
        <v>3072000</v>
      </c>
      <c r="I12">
        <f t="shared" si="0"/>
        <v>300000</v>
      </c>
      <c r="J12">
        <f t="shared" si="1"/>
        <v>888000</v>
      </c>
    </row>
    <row r="13" spans="1:10" x14ac:dyDescent="0.25">
      <c r="A13">
        <v>12</v>
      </c>
      <c r="B13" t="s">
        <v>67</v>
      </c>
      <c r="C13" t="s">
        <v>72</v>
      </c>
      <c r="D13" s="1">
        <v>25465</v>
      </c>
      <c r="E13">
        <v>150000</v>
      </c>
      <c r="F13">
        <v>14</v>
      </c>
      <c r="G13">
        <f>F13*E$13</f>
        <v>2100000</v>
      </c>
      <c r="H13">
        <f t="shared" si="2"/>
        <v>3072000</v>
      </c>
      <c r="I13">
        <f t="shared" si="0"/>
        <v>100000</v>
      </c>
      <c r="J13">
        <f t="shared" si="1"/>
        <v>-972000</v>
      </c>
    </row>
    <row r="14" spans="1:10" x14ac:dyDescent="0.25">
      <c r="A14">
        <v>13</v>
      </c>
      <c r="B14" t="s">
        <v>68</v>
      </c>
      <c r="C14" t="s">
        <v>77</v>
      </c>
      <c r="D14" s="1">
        <v>21438</v>
      </c>
      <c r="E14">
        <v>180000</v>
      </c>
      <c r="F14">
        <v>23</v>
      </c>
      <c r="G14">
        <f>F14*E$14</f>
        <v>4140000</v>
      </c>
      <c r="H14">
        <f t="shared" si="2"/>
        <v>3072000</v>
      </c>
      <c r="I14">
        <f t="shared" si="0"/>
        <v>400000</v>
      </c>
      <c r="J14">
        <f t="shared" si="1"/>
        <v>1068000</v>
      </c>
    </row>
    <row r="15" spans="1:10" x14ac:dyDescent="0.25">
      <c r="A15">
        <v>14</v>
      </c>
      <c r="B15" t="s">
        <v>69</v>
      </c>
      <c r="C15" t="s">
        <v>71</v>
      </c>
      <c r="D15" s="1">
        <v>19983</v>
      </c>
      <c r="E15">
        <v>160000</v>
      </c>
      <c r="F15">
        <v>27</v>
      </c>
      <c r="G15">
        <f>F15*E$15</f>
        <v>4320000</v>
      </c>
      <c r="H15">
        <f t="shared" si="2"/>
        <v>3072000</v>
      </c>
      <c r="I15">
        <f t="shared" si="0"/>
        <v>300000</v>
      </c>
      <c r="J15">
        <f t="shared" si="1"/>
        <v>1248000</v>
      </c>
    </row>
    <row r="16" spans="1:10" x14ac:dyDescent="0.25">
      <c r="A16">
        <v>15</v>
      </c>
      <c r="B16" t="s">
        <v>70</v>
      </c>
      <c r="C16" t="s">
        <v>75</v>
      </c>
      <c r="D16" s="1">
        <v>25074</v>
      </c>
      <c r="E16">
        <v>130000</v>
      </c>
      <c r="F16">
        <v>26</v>
      </c>
      <c r="G16">
        <f>F16*E$16</f>
        <v>3380000</v>
      </c>
      <c r="H16">
        <f t="shared" si="2"/>
        <v>3072000</v>
      </c>
      <c r="I16">
        <f t="shared" si="0"/>
        <v>100000</v>
      </c>
      <c r="J16">
        <f t="shared" si="1"/>
        <v>308000</v>
      </c>
    </row>
    <row r="17" spans="1:10" x14ac:dyDescent="0.25">
      <c r="A17" s="2" t="s">
        <v>78</v>
      </c>
      <c r="B17" s="2"/>
      <c r="C17" s="2"/>
      <c r="D17" s="2"/>
      <c r="E17" s="2"/>
      <c r="F17" s="2"/>
      <c r="G17">
        <f>SUM(G2:G16)</f>
        <v>50540000</v>
      </c>
      <c r="H17">
        <f>SUM(H2:H16)</f>
        <v>45456000</v>
      </c>
      <c r="I17">
        <f>SUM(I2:I16)</f>
        <v>3000000</v>
      </c>
      <c r="J17">
        <f>SUM(J2:J16)</f>
        <v>5084000</v>
      </c>
    </row>
    <row r="18" spans="1:10" x14ac:dyDescent="0.25">
      <c r="A18" s="2" t="s">
        <v>79</v>
      </c>
      <c r="B18" s="2"/>
      <c r="C18" s="2"/>
      <c r="D18" s="2"/>
      <c r="E18" s="2"/>
      <c r="F18" s="2"/>
      <c r="G18">
        <f>AVERAGE(G2:G16)</f>
        <v>3369333.3333333335</v>
      </c>
      <c r="H18">
        <f>AVERAGE(H2:H16)</f>
        <v>3030400</v>
      </c>
      <c r="I18">
        <f>AVERAGE(I2:I16)</f>
        <v>200000</v>
      </c>
      <c r="J18">
        <f>AVERAGE(J2:J16)</f>
        <v>338933.33333333331</v>
      </c>
    </row>
    <row r="19" spans="1:10" x14ac:dyDescent="0.25">
      <c r="A19" s="2" t="s">
        <v>25</v>
      </c>
      <c r="B19" s="2"/>
      <c r="C19" s="2"/>
      <c r="D19" s="2"/>
      <c r="E19" s="2"/>
      <c r="F19" s="2"/>
      <c r="G19">
        <f>MAX(G2:G16)</f>
        <v>4320000</v>
      </c>
      <c r="H19">
        <f>MAX(H2:H16)</f>
        <v>3120000</v>
      </c>
      <c r="I19">
        <f>MAX(I2:I16)</f>
        <v>500000</v>
      </c>
      <c r="J19">
        <f>MAX(J2:J16)</f>
        <v>1248000</v>
      </c>
    </row>
    <row r="20" spans="1:10" x14ac:dyDescent="0.25">
      <c r="A20" s="2" t="s">
        <v>80</v>
      </c>
      <c r="B20" s="2"/>
      <c r="C20" s="2"/>
      <c r="D20" s="2"/>
      <c r="E20" s="2"/>
      <c r="F20" s="2"/>
      <c r="G20">
        <f>MIN(G2:G16)</f>
        <v>2100000</v>
      </c>
      <c r="H20">
        <f>MIN(H2:H16)</f>
        <v>2400000</v>
      </c>
      <c r="I20">
        <f>MIN(I2:I16)</f>
        <v>100000</v>
      </c>
      <c r="J20">
        <f>MIN(J2:J16)</f>
        <v>-972000</v>
      </c>
    </row>
  </sheetData>
  <mergeCells count="4">
    <mergeCell ref="A17:F17"/>
    <mergeCell ref="A19:F19"/>
    <mergeCell ref="A18:F18"/>
    <mergeCell ref="A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8226-8C12-4045-BB91-5EE786BE1D99}">
  <dimension ref="A1:J9"/>
  <sheetViews>
    <sheetView tabSelected="1" workbookViewId="0">
      <selection activeCell="A10" sqref="A10"/>
    </sheetView>
  </sheetViews>
  <sheetFormatPr defaultRowHeight="15.75" x14ac:dyDescent="0.25"/>
  <cols>
    <col min="2" max="2" width="10.75" customWidth="1"/>
    <col min="3" max="4" width="11" customWidth="1"/>
    <col min="6" max="6" width="11.5" customWidth="1"/>
    <col min="7" max="7" width="13.125" customWidth="1"/>
    <col min="8" max="8" width="11" customWidth="1"/>
    <col min="9" max="9" width="11.625" customWidth="1"/>
    <col min="10" max="10" width="12" customWidth="1"/>
  </cols>
  <sheetData>
    <row r="1" spans="1:10" x14ac:dyDescent="0.25">
      <c r="A1" t="s">
        <v>1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>
        <v>1</v>
      </c>
      <c r="B2" t="s">
        <v>92</v>
      </c>
    </row>
    <row r="3" spans="1:10" x14ac:dyDescent="0.25">
      <c r="A3">
        <v>2</v>
      </c>
      <c r="B3" t="s">
        <v>93</v>
      </c>
    </row>
    <row r="4" spans="1:10" x14ac:dyDescent="0.25">
      <c r="A4">
        <v>3</v>
      </c>
      <c r="B4" t="s">
        <v>94</v>
      </c>
    </row>
    <row r="5" spans="1:10" x14ac:dyDescent="0.25">
      <c r="A5">
        <v>4</v>
      </c>
      <c r="B5" t="s">
        <v>95</v>
      </c>
    </row>
    <row r="6" spans="1:10" x14ac:dyDescent="0.25">
      <c r="A6">
        <v>5</v>
      </c>
      <c r="B6" t="s">
        <v>96</v>
      </c>
    </row>
    <row r="7" spans="1:10" x14ac:dyDescent="0.25">
      <c r="A7">
        <v>6</v>
      </c>
      <c r="B7" t="s">
        <v>97</v>
      </c>
    </row>
    <row r="8" spans="1:10" x14ac:dyDescent="0.25">
      <c r="A8">
        <v>7</v>
      </c>
      <c r="B8" t="s">
        <v>98</v>
      </c>
    </row>
    <row r="9" spans="1:10" x14ac:dyDescent="0.25">
      <c r="A9">
        <v>8</v>
      </c>
      <c r="B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BẢNG TÍNH 1</vt:lpstr>
      <vt:lpstr>BẢNG TÍNH 2</vt:lpstr>
      <vt:lpstr>BẢNG TÍNH 3</vt:lpstr>
      <vt:lpstr>BẢNG TÍNH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2025-12-24T01:13:12Z</dcterms:created>
  <dcterms:modified xsi:type="dcterms:W3CDTF">2025-12-31T02:32:02Z</dcterms:modified>
</cp:coreProperties>
</file>